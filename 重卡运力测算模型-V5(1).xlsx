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tabRatio="547"/>
  </bookViews>
  <sheets>
    <sheet name="汇总" sheetId="19" r:id="rId1"/>
    <sheet name="测算模型(1)" sheetId="12" r:id="rId2"/>
    <sheet name="测算模型(2)" sheetId="31" r:id="rId3"/>
    <sheet name="测算模型(3)" sheetId="32" r:id="rId4"/>
    <sheet name="测算模型(4)" sheetId="33" r:id="rId5"/>
    <sheet name="测算模型(5)" sheetId="34" r:id="rId6"/>
    <sheet name="示例" sheetId="26" r:id="rId7"/>
  </sheets>
  <definedNames>
    <definedName name="输入项">'测算模型(1)'!$A$2:$N$34</definedName>
    <definedName name="利润表总览">'测算模型(1)'!$B$37:$H$64</definedName>
    <definedName name="输入项" localSheetId="6">示例!$A$2:$N$34</definedName>
    <definedName name="利润表总览" localSheetId="6">示例!$B$37:$H$64</definedName>
    <definedName name="输入项" localSheetId="2">'测算模型(2)'!$A$2:$N$34</definedName>
    <definedName name="利润表总览" localSheetId="2">'测算模型(2)'!$B$37:$H$64</definedName>
    <definedName name="输入项" localSheetId="3">'测算模型(3)'!$A$2:$N$34</definedName>
    <definedName name="利润表总览" localSheetId="3">'测算模型(3)'!$B$37:$H$64</definedName>
    <definedName name="输入项" localSheetId="4">'测算模型(4)'!$A$2:$N$34</definedName>
    <definedName name="利润表总览" localSheetId="4">'测算模型(4)'!$B$37:$H$64</definedName>
    <definedName name="输入项" localSheetId="5">'测算模型(5)'!$A$2:$N$34</definedName>
    <definedName name="利润表总览" localSheetId="5">'测算模型(5)'!$B$37:$H$64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<sst xmlns="http://schemas.openxmlformats.org/spreadsheetml/2006/main" count="1974" uniqueCount="157">
  <si>
    <t>序号</t>
  </si>
  <si>
    <t>表名</t>
  </si>
  <si>
    <t>链接</t>
  </si>
  <si>
    <t>单车利润总览（月度）</t>
  </si>
  <si>
    <t>测算模型(1)'!A1</t>
  </si>
  <si>
    <t>线路</t>
  </si>
  <si>
    <t>线路1</t>
  </si>
  <si>
    <t>线路2</t>
  </si>
  <si>
    <t>线路3</t>
  </si>
  <si>
    <t>线路4</t>
  </si>
  <si>
    <t>线路5</t>
  </si>
  <si>
    <t>测算模型 (2)'!A1</t>
  </si>
  <si>
    <t>路段</t>
  </si>
  <si>
    <t>收入</t>
  </si>
  <si>
    <t>固定成本</t>
  </si>
  <si>
    <t>变动成本</t>
  </si>
  <si>
    <t>财务成本</t>
  </si>
  <si>
    <t>税务成本</t>
  </si>
  <si>
    <t>利润</t>
  </si>
  <si>
    <t>测算模型 (3)'!A1</t>
  </si>
  <si>
    <t>路段1</t>
  </si>
  <si>
    <t>测算模型 (4)'!A1</t>
  </si>
  <si>
    <t>路段2</t>
  </si>
  <si>
    <t>测算模型 (5)'!A1</t>
  </si>
  <si>
    <t>路段3</t>
  </si>
  <si>
    <t>路段4</t>
  </si>
  <si>
    <t>路段5</t>
  </si>
  <si>
    <t>路段6</t>
  </si>
  <si>
    <t>路段7</t>
  </si>
  <si>
    <t>路段8</t>
  </si>
  <si>
    <t>路段9</t>
  </si>
  <si>
    <t>路段10</t>
  </si>
  <si>
    <t>利润总览（月度）</t>
  </si>
  <si>
    <t>加权平均利润（月度）</t>
  </si>
  <si>
    <t>权重</t>
  </si>
  <si>
    <t>合计</t>
  </si>
  <si>
    <t>填写说明：请填写标绿单元格信息，预设值可根据实际情况修改。</t>
  </si>
  <si>
    <t>现金流量表（月度）</t>
  </si>
  <si>
    <t>关键参数敏感性分析（单车）</t>
  </si>
  <si>
    <t>项目</t>
  </si>
  <si>
    <t>字段说明</t>
  </si>
  <si>
    <t>月份</t>
  </si>
  <si>
    <t>参数</t>
  </si>
  <si>
    <t>步长</t>
  </si>
  <si>
    <t>默认值</t>
  </si>
  <si>
    <t>基本信息</t>
  </si>
  <si>
    <t>租赁形式</t>
  </si>
  <si>
    <t>体现本项目的租赁形式</t>
  </si>
  <si>
    <t>纯租赁</t>
  </si>
  <si>
    <t>去程收入</t>
  </si>
  <si>
    <t>✔</t>
  </si>
  <si>
    <t>含电损均价（元/kWh)</t>
  </si>
  <si>
    <t>车队规模（台）</t>
  </si>
  <si>
    <t>体现用于运营该段路线的车辆数</t>
  </si>
  <si>
    <t>车辆首付成本</t>
  </si>
  <si>
    <t>去程运价（吨/元）</t>
  </si>
  <si>
    <t>体现计入充电综合损耗后的实际用电单价</t>
  </si>
  <si>
    <t>车辆月租成本</t>
  </si>
  <si>
    <t>单车月运营趟数（趟）</t>
  </si>
  <si>
    <t>行驶里程（km）</t>
  </si>
  <si>
    <t>体现该段路程的行驶里程</t>
  </si>
  <si>
    <t>车辆管理费</t>
  </si>
  <si>
    <t>月租（元/台）</t>
  </si>
  <si>
    <t>体现该段路程运输任务对应的收费标准</t>
  </si>
  <si>
    <t>车辆路保费</t>
  </si>
  <si>
    <t>满载平均能耗(kWh/km)</t>
  </si>
  <si>
    <t>载重（吨/趟）</t>
  </si>
  <si>
    <t>体现该段路程运输任务的实际载重</t>
  </si>
  <si>
    <t>车辆维保费</t>
  </si>
  <si>
    <t>利润表（月度）</t>
  </si>
  <si>
    <t>体现单车每月行驶该段路线的趟数</t>
  </si>
  <si>
    <t>车辆年审费</t>
  </si>
  <si>
    <t>年运营月数（月）</t>
  </si>
  <si>
    <t>体现该段路线每年正常运营的月数</t>
  </si>
  <si>
    <t>车辆保险费</t>
  </si>
  <si>
    <t>收入合计</t>
  </si>
  <si>
    <t>单车首付金额（元/台）</t>
  </si>
  <si>
    <t>体现单车租赁时一次性支付的首期款项</t>
  </si>
  <si>
    <t>车辆停车费</t>
  </si>
  <si>
    <t>车辆成本</t>
  </si>
  <si>
    <t>单车分期月份（月）</t>
  </si>
  <si>
    <t>体现单车+挂租赁的月份</t>
  </si>
  <si>
    <t>柴暖费</t>
  </si>
  <si>
    <t>体现单车+挂每月需缴纳的租赁费用</t>
  </si>
  <si>
    <t>合计金额</t>
  </si>
  <si>
    <t>消耗费用</t>
  </si>
  <si>
    <t>单车月管理费（元）</t>
  </si>
  <si>
    <t>体现单车每月产生的运营管理费用</t>
  </si>
  <si>
    <t>司机成本</t>
  </si>
  <si>
    <t>单车月路保费（元）</t>
  </si>
  <si>
    <t>体现单车每月缴纳的道路相关规费</t>
  </si>
  <si>
    <t>车辆过路费</t>
  </si>
  <si>
    <t>单车月维保费（元）</t>
  </si>
  <si>
    <t>体现单车每月维修、保养产生的费用</t>
  </si>
  <si>
    <t>装卸费</t>
  </si>
  <si>
    <t>单车审验费用（元/月）</t>
  </si>
  <si>
    <t>体现单车每月均摊的年度审验费用</t>
  </si>
  <si>
    <t>信息费</t>
  </si>
  <si>
    <t>单车月保险费（元）</t>
  </si>
  <si>
    <t>体现单车每月分摊的各类保险费用</t>
  </si>
  <si>
    <t>车辆能源成本</t>
  </si>
  <si>
    <t>单车月停车费（元）</t>
  </si>
  <si>
    <t>体现单车每月产生的停车费</t>
  </si>
  <si>
    <t>轮胎成本</t>
  </si>
  <si>
    <t>单车月柴暖费（元/月）</t>
  </si>
  <si>
    <t>体现单车每月均摊的柴暖费用</t>
  </si>
  <si>
    <t>营收垫资成本</t>
  </si>
  <si>
    <t>单车消耗费用（元/月）</t>
  </si>
  <si>
    <t>体现每月以上项目未涉及的其它消耗费用</t>
  </si>
  <si>
    <t>流动资金贷款利息成本</t>
  </si>
  <si>
    <t>单车司机成本（元/趟）</t>
  </si>
  <si>
    <t>体现单车单趟该路程运输任务产生的司机成本</t>
  </si>
  <si>
    <t>销项税额</t>
  </si>
  <si>
    <t>单车过路费（元/趟）</t>
  </si>
  <si>
    <t>体现单车单趟行驶该路程产生的过路费</t>
  </si>
  <si>
    <t>进项税额</t>
  </si>
  <si>
    <t>单车单趟装卸费（元/趟）</t>
  </si>
  <si>
    <t>体现单车单趟该段路程运输任务产生的装卸费</t>
  </si>
  <si>
    <t>增值税税金</t>
  </si>
  <si>
    <t>单车单趟信息费（元/趟）</t>
  </si>
  <si>
    <t>体现单车单趟该段路程运输任务产生的信息费</t>
  </si>
  <si>
    <t>当前现金流</t>
  </si>
  <si>
    <t>应收回款周期（月）</t>
  </si>
  <si>
    <t>体现确认收入到收到货款的月数</t>
  </si>
  <si>
    <t>累计现金流</t>
  </si>
  <si>
    <t>流动资金贷款周期（月）</t>
  </si>
  <si>
    <t>流动资金贷款需求=月经营成本*周期</t>
  </si>
  <si>
    <t>IRR(12月)</t>
  </si>
  <si>
    <t>车辆折旧年限</t>
  </si>
  <si>
    <t>体现车辆可使用的总时长</t>
  </si>
  <si>
    <t>注：非经营月份无收入、变动成本；</t>
  </si>
  <si>
    <t>轮胎寿命（km）</t>
  </si>
  <si>
    <t>体现单条轮胎正常可行驶的总里程</t>
  </si>
  <si>
    <t>注：车辆成本、固定成本按经营月份摊销</t>
  </si>
  <si>
    <t>单车轮胎数量（条）</t>
  </si>
  <si>
    <t>体现单车配备的轮胎数</t>
  </si>
  <si>
    <t>轮胎均价（元/条）</t>
  </si>
  <si>
    <t>体现每条轮胎的均价</t>
  </si>
  <si>
    <t>成本合计</t>
  </si>
  <si>
    <t>体现车辆满载状态下每公里平均耗电量</t>
  </si>
  <si>
    <t>利润合计</t>
  </si>
  <si>
    <t>空载平均能耗(kWh/km)</t>
  </si>
  <si>
    <t>体现车辆空载状态下每公里平均耗电量</t>
  </si>
  <si>
    <t>注：车辆成本、固定成本按经营月份摊销；步长可修改</t>
  </si>
  <si>
    <t>营收年贴现率</t>
  </si>
  <si>
    <t>体现年度营收折算现值所使用的财务贴现比例</t>
  </si>
  <si>
    <t>流动资金贷款年利率</t>
  </si>
  <si>
    <t>体现流动资金贷款的年化利率</t>
  </si>
  <si>
    <t>注：纯租赁模式、以租代购模式区别在于：纯租赁模式不考虑单车首付金额、车辆折旧年限</t>
  </si>
  <si>
    <t>现金流量表（年度）</t>
  </si>
  <si>
    <t>占比</t>
  </si>
  <si>
    <t>年份</t>
  </si>
  <si>
    <t>IRR（4年）</t>
  </si>
  <si>
    <t>IRR（5年）</t>
  </si>
  <si>
    <t>IRR（6年）</t>
  </si>
  <si>
    <t>IRR（8年）</t>
  </si>
  <si>
    <t>利润表（年度）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</si>
</sst>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31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0"/>
      <color rgb="FF000000"/>
      <name val="微软雅黑"/>
      <charset val="134"/>
    </font>
    <font>
      <sz val="10"/>
      <color theme="2" tint="-0.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微软雅黑"/>
      <charset val="0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11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43" fontId="1" fillId="0" borderId="0" xfId="2" applyNumberFormat="1" applyFont="1" applyFill="1" applyBorder="1" applyProtection="1">
      <alignment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left" vertical="center"/>
    </xf>
    <xf numFmtId="43" fontId="1" fillId="0" borderId="3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176" fontId="1" fillId="3" borderId="1" xfId="2" applyNumberFormat="1" applyFont="1" applyFill="1" applyBorder="1" applyAlignment="1" applyProtection="1">
      <alignment horizontal="right" vertical="center"/>
    </xf>
    <xf numFmtId="9" fontId="1" fillId="0" borderId="0" xfId="3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43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 shrinkToFit="1"/>
    </xf>
    <xf numFmtId="0" fontId="1" fillId="0" borderId="0" xfId="0" applyFont="1" applyFill="1" applyBorder="1" applyAlignment="1" applyProtection="1">
      <alignment horizontal="left" vertical="center" shrinkToFit="1"/>
    </xf>
    <xf numFmtId="43" fontId="1" fillId="3" borderId="1" xfId="0" applyNumberFormat="1" applyFont="1" applyFill="1" applyBorder="1" applyAlignment="1" applyProtection="1">
      <alignment horizontal="right" vertical="center"/>
    </xf>
    <xf numFmtId="43" fontId="4" fillId="0" borderId="0" xfId="0" applyNumberFormat="1" applyFont="1" applyFill="1" applyBorder="1" applyAlignment="1" applyProtection="1">
      <alignment horizontal="center" vertical="center"/>
    </xf>
    <xf numFmtId="43" fontId="4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43" fontId="1" fillId="3" borderId="1" xfId="2" applyNumberFormat="1" applyFont="1" applyFill="1" applyBorder="1" applyAlignment="1" applyProtection="1">
      <alignment horizontal="right" vertical="center"/>
    </xf>
    <xf numFmtId="9" fontId="1" fillId="0" borderId="0" xfId="3" applyFont="1" applyFill="1" applyAlignment="1" applyProtection="1">
      <alignment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43" fontId="4" fillId="4" borderId="4" xfId="0" applyNumberFormat="1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 wrapText="1"/>
    </xf>
    <xf numFmtId="43" fontId="1" fillId="3" borderId="1" xfId="2" applyNumberFormat="1" applyFont="1" applyFill="1" applyBorder="1" applyAlignment="1" applyProtection="1">
      <alignment horizontal="right" vertical="center" wrapText="1"/>
    </xf>
    <xf numFmtId="0" fontId="3" fillId="2" borderId="4" xfId="0" applyFont="1" applyFill="1" applyBorder="1" applyAlignment="1" applyProtection="1">
      <alignment horizontal="center" vertical="center"/>
    </xf>
    <xf numFmtId="43" fontId="3" fillId="2" borderId="4" xfId="0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vertical="center"/>
    </xf>
    <xf numFmtId="43" fontId="1" fillId="0" borderId="0" xfId="0" applyNumberFormat="1" applyFont="1" applyFill="1" applyBorder="1" applyAlignment="1" applyProtection="1">
      <alignment horizontal="center" vertical="center"/>
    </xf>
    <xf numFmtId="43" fontId="7" fillId="5" borderId="5" xfId="0" applyNumberFormat="1" applyFont="1" applyFill="1" applyBorder="1" applyAlignment="1" applyProtection="1">
      <alignment horizontal="right" vertical="center"/>
    </xf>
    <xf numFmtId="0" fontId="3" fillId="0" borderId="6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 applyProtection="1">
      <alignment vertical="center"/>
    </xf>
    <xf numFmtId="43" fontId="8" fillId="0" borderId="6" xfId="0" applyNumberFormat="1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43" fontId="8" fillId="0" borderId="0" xfId="0" applyNumberFormat="1" applyFont="1" applyFill="1" applyBorder="1" applyAlignment="1" applyProtection="1">
      <alignment vertical="center"/>
    </xf>
    <xf numFmtId="43" fontId="1" fillId="2" borderId="4" xfId="0" applyNumberFormat="1" applyFont="1" applyFill="1" applyBorder="1" applyAlignment="1" applyProtection="1">
      <alignment vertical="center"/>
    </xf>
    <xf numFmtId="9" fontId="1" fillId="2" borderId="4" xfId="3" applyFont="1" applyFill="1" applyBorder="1" applyAlignment="1" applyProtection="1">
      <alignment vertical="center"/>
    </xf>
    <xf numFmtId="0" fontId="1" fillId="6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vertical="center"/>
    </xf>
    <xf numFmtId="0" fontId="1" fillId="6" borderId="1" xfId="0" applyFont="1" applyFill="1" applyBorder="1" applyAlignment="1" applyProtection="1">
      <alignment horizontal="left" vertical="center"/>
    </xf>
    <xf numFmtId="43" fontId="7" fillId="6" borderId="1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43" fontId="4" fillId="2" borderId="4" xfId="0" applyNumberFormat="1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10" fontId="7" fillId="6" borderId="1" xfId="0" applyNumberFormat="1" applyFont="1" applyFill="1" applyBorder="1" applyAlignment="1" applyProtection="1">
      <alignment horizontal="right" vertical="center" wrapText="1"/>
    </xf>
    <xf numFmtId="43" fontId="1" fillId="0" borderId="0" xfId="0" applyNumberFormat="1" applyFont="1" applyFill="1" applyAlignment="1" applyProtection="1">
      <alignment vertical="center"/>
    </xf>
    <xf numFmtId="10" fontId="7" fillId="6" borderId="1" xfId="0" applyNumberFormat="1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center" vertical="center" wrapText="1"/>
    </xf>
    <xf numFmtId="43" fontId="1" fillId="4" borderId="4" xfId="0" applyNumberFormat="1" applyFont="1" applyFill="1" applyBorder="1" applyAlignment="1" applyProtection="1">
      <alignment vertical="center"/>
    </xf>
    <xf numFmtId="43" fontId="4" fillId="4" borderId="4" xfId="0" applyNumberFormat="1" applyFont="1" applyFill="1" applyBorder="1" applyAlignment="1" applyProtection="1">
      <alignment horizontal="center" vertical="center"/>
    </xf>
    <xf numFmtId="43" fontId="3" fillId="0" borderId="0" xfId="0" applyNumberFormat="1" applyFont="1" applyFill="1" applyBorder="1" applyAlignment="1" applyProtection="1">
      <alignment horizontal="center" vertical="center"/>
    </xf>
    <xf numFmtId="9" fontId="1" fillId="0" borderId="3" xfId="3" applyFont="1" applyFill="1" applyBorder="1" applyAlignment="1" applyProtection="1">
      <alignment vertical="center"/>
    </xf>
    <xf numFmtId="0" fontId="1" fillId="0" borderId="6" xfId="0" applyFont="1" applyFill="1" applyBorder="1" applyAlignment="1" applyProtection="1">
      <alignment vertical="center"/>
    </xf>
    <xf numFmtId="0" fontId="1" fillId="0" borderId="6" xfId="0" applyFont="1" applyFill="1" applyBorder="1" applyAlignment="1" applyProtection="1">
      <alignment horizontal="left" vertical="center"/>
    </xf>
    <xf numFmtId="43" fontId="1" fillId="0" borderId="6" xfId="0" applyNumberFormat="1" applyFont="1" applyFill="1" applyBorder="1" applyAlignment="1" applyProtection="1">
      <alignment vertical="center"/>
    </xf>
    <xf numFmtId="9" fontId="1" fillId="0" borderId="6" xfId="3" applyFont="1" applyFill="1" applyBorder="1" applyAlignment="1" applyProtection="1">
      <alignment horizontal="right" vertical="center"/>
    </xf>
    <xf numFmtId="9" fontId="1" fillId="0" borderId="0" xfId="3" applyFont="1" applyFill="1" applyBorder="1" applyAlignment="1" applyProtection="1">
      <alignment horizontal="right" vertical="center"/>
    </xf>
    <xf numFmtId="9" fontId="1" fillId="0" borderId="3" xfId="3" applyFont="1" applyFill="1" applyBorder="1" applyAlignment="1" applyProtection="1">
      <alignment horizontal="right" vertical="center"/>
    </xf>
    <xf numFmtId="43" fontId="4" fillId="2" borderId="4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176" fontId="1" fillId="3" borderId="1" xfId="2" applyNumberFormat="1" applyFont="1" applyFill="1" applyBorder="1" applyAlignment="1" applyProtection="1">
      <alignment horizontal="right" vertical="center"/>
      <protection locked="0"/>
    </xf>
    <xf numFmtId="43" fontId="1" fillId="3" borderId="1" xfId="0" applyNumberFormat="1" applyFont="1" applyFill="1" applyBorder="1" applyAlignment="1" applyProtection="1">
      <alignment horizontal="right" vertical="center"/>
      <protection locked="0"/>
    </xf>
    <xf numFmtId="43" fontId="1" fillId="3" borderId="1" xfId="2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43" fontId="1" fillId="3" borderId="1" xfId="2" applyNumberFormat="1" applyFont="1" applyFill="1" applyBorder="1" applyAlignment="1" applyProtection="1">
      <alignment horizontal="right" vertical="center" wrapText="1"/>
      <protection locked="0"/>
    </xf>
    <xf numFmtId="43" fontId="7" fillId="5" borderId="5" xfId="0" applyNumberFormat="1" applyFont="1" applyFill="1" applyBorder="1" applyAlignment="1" applyProtection="1">
      <alignment horizontal="right" vertical="center"/>
      <protection locked="0"/>
    </xf>
    <xf numFmtId="43" fontId="7" fillId="6" borderId="1" xfId="0" applyNumberFormat="1" applyFont="1" applyFill="1" applyBorder="1" applyAlignment="1" applyProtection="1">
      <alignment horizontal="right" vertical="center"/>
      <protection locked="0"/>
    </xf>
    <xf numFmtId="10" fontId="7" fillId="6" borderId="1" xfId="0" applyNumberFormat="1" applyFont="1" applyFill="1" applyBorder="1" applyAlignment="1" applyProtection="1">
      <alignment horizontal="right" vertical="center" wrapText="1"/>
      <protection locked="0"/>
    </xf>
    <xf numFmtId="10" fontId="7" fillId="6" borderId="1" xfId="0" applyNumberFormat="1" applyFont="1" applyFill="1" applyBorder="1" applyAlignment="1" applyProtection="1">
      <alignment horizontal="right" vertical="center"/>
      <protection locked="0"/>
    </xf>
    <xf numFmtId="9" fontId="1" fillId="0" borderId="6" xfId="3" applyFont="1" applyFill="1" applyBorder="1" applyAlignment="1" applyProtection="1">
      <alignment horizontal="center" vertical="center"/>
    </xf>
    <xf numFmtId="9" fontId="1" fillId="0" borderId="0" xfId="3" applyFont="1" applyFill="1" applyBorder="1" applyAlignment="1" applyProtection="1">
      <alignment horizontal="center" vertical="center"/>
    </xf>
    <xf numFmtId="9" fontId="1" fillId="0" borderId="3" xfId="3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10" fillId="0" borderId="0" xfId="6" applyFont="1" applyAlignment="1" applyProtection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</xf>
    <xf numFmtId="43" fontId="1" fillId="0" borderId="0" xfId="2" applyNumberFormat="1" applyFont="1" applyFill="1" applyBorder="1" applyAlignment="1" applyProtection="1">
      <alignment horizontal="center" vertical="center"/>
    </xf>
    <xf numFmtId="43" fontId="1" fillId="7" borderId="0" xfId="0" applyNumberFormat="1" applyFont="1" applyFill="1" applyBorder="1" applyAlignment="1" applyProtection="1">
      <alignment horizontal="center" vertical="center"/>
    </xf>
    <xf numFmtId="43" fontId="3" fillId="7" borderId="4" xfId="0" applyNumberFormat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9" fontId="9" fillId="0" borderId="0" xfId="3" applyNumberFormat="1" applyFont="1" applyAlignment="1" applyProtection="1">
      <alignment horizontal="center" vertical="center"/>
    </xf>
    <xf numFmtId="43" fontId="9" fillId="0" borderId="0" xfId="0" applyNumberFormat="1" applyFont="1" applyAlignment="1" applyProtection="1">
      <alignment horizontal="center" vertical="center"/>
    </xf>
    <xf numFmtId="43" fontId="11" fillId="2" borderId="4" xfId="0" applyNumberFormat="1" applyFont="1" applyFill="1" applyBorder="1" applyAlignment="1" applyProtection="1">
      <alignment horizontal="center" vertical="center"/>
    </xf>
    <xf numFmtId="0" fontId="10" fillId="0" borderId="0" xfId="6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CE7EA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40"/>
  <sheetViews>
    <sheetView tabSelected="1" workbookViewId="0">
      <selection activeCell="F11" sqref="F11"/>
    </sheetView>
  </sheetViews>
  <sheetFormatPr defaultColWidth="8.72727272727273" defaultRowHeight="14.5"/>
  <cols>
    <col min="1" max="1" width="8.72727272727273" style="105"/>
    <col min="2" max="2" width="18.1272727272727" style="105" customWidth="1"/>
    <col min="3" max="3" width="17.6272727272727" style="105" customWidth="1"/>
    <col min="4" max="4" width="5.62727272727273" style="105" customWidth="1"/>
    <col min="5" max="5" width="18.5" style="105" customWidth="1"/>
    <col min="6" max="6" width="11.5" style="105" customWidth="1"/>
    <col min="7" max="7" width="11.2545454545455" style="105" customWidth="1"/>
    <col min="8" max="8" width="11.5454545454545" style="105" customWidth="1"/>
    <col min="9" max="9" width="11.5" style="105" customWidth="1"/>
    <col min="10" max="10" width="10.3636363636364" style="105" customWidth="1"/>
    <col min="11" max="11" width="11.3636363636364" style="105" customWidth="1"/>
    <col min="12" max="12" width="13.7545454545455" style="105"/>
    <col min="13" max="14" width="11.5454545454545" style="105"/>
    <col min="15" max="15" width="8.72727272727273" style="105"/>
    <col min="16" max="16" width="10.3636363636364" style="105"/>
    <col min="17" max="17" width="11.3636363636364" style="105"/>
    <col min="18" max="20" width="11.5454545454545" style="105"/>
    <col min="21" max="21" width="9.37272727272727" style="105"/>
    <col min="22" max="22" width="10.3727272727273" style="105"/>
    <col min="23" max="23" width="12.4545454545455" style="105"/>
    <col min="24" max="24" width="13.2545454545455" style="105" customWidth="1"/>
    <col min="25" max="26" width="11.5454545454545" style="105"/>
    <col min="27" max="27" width="9.37272727272727" style="105"/>
    <col min="28" max="28" width="10.3727272727273" style="105"/>
    <col min="29" max="29" width="12.4545454545455" style="105"/>
    <col min="30" max="30" width="13.2545454545455" style="105" customWidth="1"/>
    <col min="31" max="31" width="11.5" style="105" customWidth="1"/>
    <col min="32" max="32" width="13.2545454545455" style="105" customWidth="1"/>
    <col min="33" max="34" width="10.3727272727273" style="105" customWidth="1"/>
    <col min="35" max="35" width="12.3727272727273" style="105"/>
    <col min="36" max="16384" width="8.72727272727273" style="105"/>
  </cols>
  <sheetData>
    <row r="1" spans="1:35">
      <c r="A1" s="105" t="s">
        <v>0</v>
      </c>
      <c r="B1" s="105" t="s">
        <v>1</v>
      </c>
      <c r="C1" s="105" t="s">
        <v>2</v>
      </c>
      <c r="E1" s="64" t="s">
        <v>3</v>
      </c>
      <c r="F1" s="64"/>
      <c r="G1" s="2"/>
      <c r="H1" s="2"/>
      <c r="I1" s="2"/>
      <c r="J1" s="2"/>
      <c r="K1" s="2"/>
    </row>
    <row r="2" ht="16.5" spans="1:35">
      <c r="A2" s="105">
        <v>1</v>
      </c>
      <c r="B2" s="105" t="str" cm="1">
        <f ca="1" t="array" ref="B2:B6">_xlfn._xlws.FILTER(_xlfn.TOCOL(_wpsfn.SHEETSNAME(),1),(_xlfn.TOCOL(_wpsfn.SHEETSNAME(),1)&lt;&gt;"汇总")*(_xlfn.TOCOL(_wpsfn.SHEETSNAME(),1)&lt;&gt;"示例"))</f>
        <v>测算模型(1)</v>
      </c>
      <c r="C2" s="115" t="s">
        <v>4</v>
      </c>
      <c r="E2" s="9" t="s">
        <v>5</v>
      </c>
      <c r="F2" s="28" t="s">
        <v>6</v>
      </c>
      <c r="G2" s="28"/>
      <c r="H2" s="28"/>
      <c r="I2" s="28"/>
      <c r="J2" s="28"/>
      <c r="K2" s="28"/>
      <c r="L2" s="28" t="s">
        <v>7</v>
      </c>
      <c r="M2" s="28"/>
      <c r="N2" s="28"/>
      <c r="O2" s="28"/>
      <c r="P2" s="28"/>
      <c r="Q2" s="28"/>
      <c r="R2" s="28" t="s">
        <v>8</v>
      </c>
      <c r="S2" s="28"/>
      <c r="T2" s="28"/>
      <c r="U2" s="28"/>
      <c r="V2" s="28"/>
      <c r="W2" s="28"/>
      <c r="X2" s="28" t="s">
        <v>9</v>
      </c>
      <c r="Y2" s="28"/>
      <c r="Z2" s="28"/>
      <c r="AA2" s="28"/>
      <c r="AB2" s="28"/>
      <c r="AC2" s="28"/>
      <c r="AD2" s="28" t="s">
        <v>10</v>
      </c>
      <c r="AE2" s="28"/>
      <c r="AF2" s="28"/>
      <c r="AG2" s="28"/>
      <c r="AH2" s="28"/>
      <c r="AI2" s="28"/>
    </row>
    <row r="3" ht="16.5" spans="1:35">
      <c r="A3" s="105">
        <v>2</v>
      </c>
      <c r="B3" s="105" t="str">
        <v>测算模型(2)</v>
      </c>
      <c r="C3" s="115" t="s">
        <v>11</v>
      </c>
      <c r="E3" s="9" t="s">
        <v>12</v>
      </c>
      <c r="F3" s="9" t="s">
        <v>13</v>
      </c>
      <c r="G3" s="9" t="s">
        <v>14</v>
      </c>
      <c r="H3" s="9" t="s">
        <v>15</v>
      </c>
      <c r="I3" s="9" t="s">
        <v>16</v>
      </c>
      <c r="J3" s="9" t="s">
        <v>17</v>
      </c>
      <c r="K3" s="107" t="s">
        <v>18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107" t="s">
        <v>18</v>
      </c>
      <c r="R3" s="9" t="s">
        <v>13</v>
      </c>
      <c r="S3" s="9" t="s">
        <v>14</v>
      </c>
      <c r="T3" s="9" t="s">
        <v>15</v>
      </c>
      <c r="U3" s="9" t="s">
        <v>16</v>
      </c>
      <c r="V3" s="9" t="s">
        <v>17</v>
      </c>
      <c r="W3" s="107" t="s">
        <v>18</v>
      </c>
      <c r="X3" s="9" t="s">
        <v>13</v>
      </c>
      <c r="Y3" s="9" t="s">
        <v>14</v>
      </c>
      <c r="Z3" s="9" t="s">
        <v>15</v>
      </c>
      <c r="AA3" s="9" t="s">
        <v>16</v>
      </c>
      <c r="AB3" s="9" t="s">
        <v>17</v>
      </c>
      <c r="AC3" s="107" t="s">
        <v>18</v>
      </c>
      <c r="AD3" s="9" t="s">
        <v>13</v>
      </c>
      <c r="AE3" s="9" t="s">
        <v>14</v>
      </c>
      <c r="AF3" s="9" t="s">
        <v>15</v>
      </c>
      <c r="AG3" s="9" t="s">
        <v>16</v>
      </c>
      <c r="AH3" s="9" t="s">
        <v>17</v>
      </c>
      <c r="AI3" s="107" t="s">
        <v>18</v>
      </c>
    </row>
    <row r="4" ht="16.5" spans="1:35">
      <c r="A4" s="105">
        <v>3</v>
      </c>
      <c r="B4" s="105" t="str">
        <v>测算模型(3)</v>
      </c>
      <c r="C4" s="115" t="s">
        <v>19</v>
      </c>
      <c r="E4" s="19" t="s">
        <v>20</v>
      </c>
      <c r="F4" s="108" t="e" cm="1">
        <f ca="1" t="array" ref="F4">INDIRECT("'"&amp;$B$2&amp;"'"&amp;"!"&amp;ADDRESS(ROW(R3),COLUMN(R3)))</f>
        <v>#DIV/0!</v>
      </c>
      <c r="G4" s="108" t="e" cm="1">
        <f ca="1" t="array" ref="G4">INDIRECT("'"&amp;$B$2&amp;"'"&amp;"!"&amp;ADDRESS(ROW(S3),COLUMN(S3)))</f>
        <v>#DIV/0!</v>
      </c>
      <c r="H4" s="108" t="e" cm="1">
        <f ca="1" t="array" ref="H4">INDIRECT("'"&amp;$B$2&amp;"'"&amp;"!"&amp;ADDRESS(ROW(T3),COLUMN(T3)))</f>
        <v>#DIV/0!</v>
      </c>
      <c r="I4" s="108" t="e" cm="1">
        <f ca="1" t="array" ref="I4">INDIRECT("'"&amp;$B$2&amp;"'"&amp;"!"&amp;ADDRESS(ROW(U3),COLUMN(U3)))</f>
        <v>#DIV/0!</v>
      </c>
      <c r="J4" s="108" t="e" cm="1">
        <f ca="1" t="array" ref="J4">INDIRECT("'"&amp;$B$2&amp;"'"&amp;"!"&amp;ADDRESS(ROW(V3),COLUMN(V3)))</f>
        <v>#DIV/0!</v>
      </c>
      <c r="K4" s="109" t="e">
        <f ca="1" t="shared" ref="K4:K14" si="0">F4-G4-H4-I4-J4</f>
        <v>#DIV/0!</v>
      </c>
      <c r="L4" s="108" t="e" cm="1">
        <f ca="1" t="array" ref="L4">INDIRECT("'"&amp;$B$3&amp;"'"&amp;"!"&amp;ADDRESS(ROW(R3),COLUMN(R3)))</f>
        <v>#DIV/0!</v>
      </c>
      <c r="M4" s="108" t="e" cm="1">
        <f ca="1" t="array" ref="M4">INDIRECT("'"&amp;$B$3&amp;"'"&amp;"!"&amp;ADDRESS(ROW(S3),COLUMN(S3)))</f>
        <v>#DIV/0!</v>
      </c>
      <c r="N4" s="108" t="e" cm="1">
        <f ca="1" t="array" ref="N4">INDIRECT("'"&amp;$B$3&amp;"'"&amp;"!"&amp;ADDRESS(ROW(T3),COLUMN(T3)))</f>
        <v>#DIV/0!</v>
      </c>
      <c r="O4" s="108" t="e" cm="1">
        <f ca="1" t="array" ref="O4">INDIRECT("'"&amp;$B$3&amp;"'"&amp;"!"&amp;ADDRESS(ROW(U3),COLUMN(U3)))</f>
        <v>#DIV/0!</v>
      </c>
      <c r="P4" s="108" t="e" cm="1">
        <f ca="1" t="array" ref="P4">INDIRECT("'"&amp;$B$3&amp;"'"&amp;"!"&amp;ADDRESS(ROW(V3),COLUMN(V3)))</f>
        <v>#DIV/0!</v>
      </c>
      <c r="Q4" s="109" t="e">
        <f ca="1" t="shared" ref="Q4:Q14" si="1">L4-M4-N4-O4-P4</f>
        <v>#DIV/0!</v>
      </c>
      <c r="R4" s="108" t="e" cm="1">
        <f ca="1" t="array" ref="R4">INDIRECT("'"&amp;$B$4&amp;"'"&amp;"!"&amp;ADDRESS(ROW(R3),COLUMN(R3)))</f>
        <v>#DIV/0!</v>
      </c>
      <c r="S4" s="108" t="e" cm="1">
        <f ca="1" t="array" ref="S4">INDIRECT("'"&amp;$B$4&amp;"'"&amp;"!"&amp;ADDRESS(ROW(S3),COLUMN(S3)))</f>
        <v>#DIV/0!</v>
      </c>
      <c r="T4" s="108" t="e" cm="1">
        <f ca="1" t="array" ref="T4">INDIRECT("'"&amp;$B$4&amp;"'"&amp;"!"&amp;ADDRESS(ROW(T3),COLUMN(T3)))</f>
        <v>#DIV/0!</v>
      </c>
      <c r="U4" s="108" t="e" cm="1">
        <f ca="1" t="array" ref="U4">INDIRECT("'"&amp;$B$4&amp;"'"&amp;"!"&amp;ADDRESS(ROW(U3),COLUMN(U3)))</f>
        <v>#DIV/0!</v>
      </c>
      <c r="V4" s="108" t="e" cm="1">
        <f ca="1" t="array" ref="V4">INDIRECT("'"&amp;$B$4&amp;"'"&amp;"!"&amp;ADDRESS(ROW(V3),COLUMN(V3)))</f>
        <v>#DIV/0!</v>
      </c>
      <c r="W4" s="109" t="e">
        <f ca="1" t="shared" ref="W4:W14" si="2">R4-S4-T4-U4-V4</f>
        <v>#DIV/0!</v>
      </c>
      <c r="X4" s="108" t="e" cm="1">
        <f ca="1" t="array" ref="X4">INDIRECT("'"&amp;$B$5&amp;"'"&amp;"!"&amp;ADDRESS(ROW(R3),COLUMN(R3)))</f>
        <v>#DIV/0!</v>
      </c>
      <c r="Y4" s="108" t="e" cm="1">
        <f ca="1" t="array" ref="Y4">INDIRECT("'"&amp;$B$5&amp;"'"&amp;"!"&amp;ADDRESS(ROW(S3),COLUMN(S3)))</f>
        <v>#DIV/0!</v>
      </c>
      <c r="Z4" s="108" t="e" cm="1">
        <f ca="1" t="array" ref="Z4">INDIRECT("'"&amp;$B$5&amp;"'"&amp;"!"&amp;ADDRESS(ROW(T3),COLUMN(T3)))</f>
        <v>#DIV/0!</v>
      </c>
      <c r="AA4" s="108" t="e" cm="1">
        <f ca="1" t="array" ref="AA4">INDIRECT("'"&amp;$B$5&amp;"'"&amp;"!"&amp;ADDRESS(ROW(U3),COLUMN(U3)))</f>
        <v>#DIV/0!</v>
      </c>
      <c r="AB4" s="108" t="e" cm="1">
        <f ca="1" t="array" ref="AB4">INDIRECT("'"&amp;$B$5&amp;"'"&amp;"!"&amp;ADDRESS(ROW(V3),COLUMN(V3)))</f>
        <v>#DIV/0!</v>
      </c>
      <c r="AC4" s="109" t="e">
        <f ca="1" t="shared" ref="AC4:AC14" si="3">X4-Y4-Z4-AA4-AB4</f>
        <v>#DIV/0!</v>
      </c>
      <c r="AD4" s="108" t="e" cm="1">
        <f ca="1" t="array" ref="AD4">INDIRECT("'"&amp;$B$6&amp;"'"&amp;"!"&amp;ADDRESS(ROW(R3),COLUMN(R3)))</f>
        <v>#DIV/0!</v>
      </c>
      <c r="AE4" s="108" t="e" cm="1">
        <f ca="1" t="array" ref="AE4">INDIRECT("'"&amp;$B$6&amp;"'"&amp;"!"&amp;ADDRESS(ROW(S3),COLUMN(S3)))</f>
        <v>#DIV/0!</v>
      </c>
      <c r="AF4" s="108" t="e" cm="1">
        <f ca="1" t="array" ref="AF4">INDIRECT("'"&amp;$B$6&amp;"'"&amp;"!"&amp;ADDRESS(ROW(T3),COLUMN(T3)))</f>
        <v>#DIV/0!</v>
      </c>
      <c r="AG4" s="108" t="e" cm="1">
        <f ca="1" t="array" ref="AG4">INDIRECT("'"&amp;$B$6&amp;"'"&amp;"!"&amp;ADDRESS(ROW(U3),COLUMN(U3)))</f>
        <v>#DIV/0!</v>
      </c>
      <c r="AH4" s="108" t="e" cm="1">
        <f ca="1" t="array" ref="AH4">INDIRECT("'"&amp;$B$6&amp;"'"&amp;"!"&amp;ADDRESS(ROW(V3),COLUMN(V3)))</f>
        <v>#DIV/0!</v>
      </c>
      <c r="AI4" s="109" t="e">
        <f ca="1" t="shared" ref="AI4:AI14" si="4">AD4-AE4-AF4-AG4-AH4</f>
        <v>#DIV/0!</v>
      </c>
    </row>
    <row r="5" ht="16.5" spans="1:35">
      <c r="A5" s="105">
        <v>4</v>
      </c>
      <c r="B5" s="105" t="str">
        <v>测算模型(4)</v>
      </c>
      <c r="C5" s="115" t="s">
        <v>21</v>
      </c>
      <c r="E5" s="19" t="s">
        <v>22</v>
      </c>
      <c r="F5" s="108" t="e" cm="1">
        <f ca="1" t="array" ref="F5">INDIRECT("'"&amp;$B$2&amp;"'"&amp;"!"&amp;ADDRESS(ROW(R4),COLUMN(R4)))</f>
        <v>#DIV/0!</v>
      </c>
      <c r="G5" s="108" t="e" cm="1">
        <f ca="1" t="array" ref="G5">INDIRECT("'"&amp;$B$2&amp;"'"&amp;"!"&amp;ADDRESS(ROW(S4),COLUMN(S4)))</f>
        <v>#DIV/0!</v>
      </c>
      <c r="H5" s="108" t="e" cm="1">
        <f ca="1" t="array" ref="H5">INDIRECT("'"&amp;$B$2&amp;"'"&amp;"!"&amp;ADDRESS(ROW(T4),COLUMN(T4)))</f>
        <v>#DIV/0!</v>
      </c>
      <c r="I5" s="108" t="e" cm="1">
        <f ca="1" t="array" ref="I5">INDIRECT("'"&amp;$B$2&amp;"'"&amp;"!"&amp;ADDRESS(ROW(U4),COLUMN(U4)))</f>
        <v>#DIV/0!</v>
      </c>
      <c r="J5" s="108" t="e" cm="1">
        <f ca="1" t="array" ref="J5">INDIRECT("'"&amp;$B$2&amp;"'"&amp;"!"&amp;ADDRESS(ROW(V4),COLUMN(V4)))</f>
        <v>#DIV/0!</v>
      </c>
      <c r="K5" s="109" t="e">
        <f ca="1" t="shared" si="0"/>
        <v>#DIV/0!</v>
      </c>
      <c r="L5" s="108" t="e" cm="1">
        <f ca="1" t="array" ref="L5">INDIRECT("'"&amp;$B$3&amp;"'"&amp;"!"&amp;ADDRESS(ROW(R4),COLUMN(R4)))</f>
        <v>#DIV/0!</v>
      </c>
      <c r="M5" s="108" t="e" cm="1">
        <f ca="1" t="array" ref="M5">INDIRECT("'"&amp;$B$3&amp;"'"&amp;"!"&amp;ADDRESS(ROW(S4),COLUMN(S4)))</f>
        <v>#DIV/0!</v>
      </c>
      <c r="N5" s="108" t="e" cm="1">
        <f ca="1" t="array" ref="N5">INDIRECT("'"&amp;$B$3&amp;"'"&amp;"!"&amp;ADDRESS(ROW(T4),COLUMN(T4)))</f>
        <v>#DIV/0!</v>
      </c>
      <c r="O5" s="108" t="e" cm="1">
        <f ca="1" t="array" ref="O5">INDIRECT("'"&amp;$B$3&amp;"'"&amp;"!"&amp;ADDRESS(ROW(U4),COLUMN(U4)))</f>
        <v>#DIV/0!</v>
      </c>
      <c r="P5" s="108" t="e" cm="1">
        <f ca="1" t="array" ref="P5">INDIRECT("'"&amp;$B$3&amp;"'"&amp;"!"&amp;ADDRESS(ROW(V4),COLUMN(V4)))</f>
        <v>#DIV/0!</v>
      </c>
      <c r="Q5" s="109" t="e">
        <f ca="1" t="shared" si="1"/>
        <v>#DIV/0!</v>
      </c>
      <c r="R5" s="108" t="e" cm="1">
        <f ca="1" t="array" ref="R5">INDIRECT("'"&amp;$B$4&amp;"'"&amp;"!"&amp;ADDRESS(ROW(R4),COLUMN(R4)))</f>
        <v>#DIV/0!</v>
      </c>
      <c r="S5" s="108" t="e" cm="1">
        <f ca="1" t="array" ref="S5">INDIRECT("'"&amp;$B$4&amp;"'"&amp;"!"&amp;ADDRESS(ROW(S4),COLUMN(S4)))</f>
        <v>#DIV/0!</v>
      </c>
      <c r="T5" s="108" t="e" cm="1">
        <f ca="1" t="array" ref="T5">INDIRECT("'"&amp;$B$4&amp;"'"&amp;"!"&amp;ADDRESS(ROW(T4),COLUMN(T4)))</f>
        <v>#DIV/0!</v>
      </c>
      <c r="U5" s="108" t="e" cm="1">
        <f ca="1" t="array" ref="U5">INDIRECT("'"&amp;$B$4&amp;"'"&amp;"!"&amp;ADDRESS(ROW(U4),COLUMN(U4)))</f>
        <v>#DIV/0!</v>
      </c>
      <c r="V5" s="108" t="e" cm="1">
        <f ca="1" t="array" ref="V5">INDIRECT("'"&amp;$B$4&amp;"'"&amp;"!"&amp;ADDRESS(ROW(V4),COLUMN(V4)))</f>
        <v>#DIV/0!</v>
      </c>
      <c r="W5" s="109" t="e">
        <f ca="1" t="shared" si="2"/>
        <v>#DIV/0!</v>
      </c>
      <c r="X5" s="108" t="e" cm="1">
        <f ca="1" t="array" ref="X5">INDIRECT("'"&amp;$B$5&amp;"'"&amp;"!"&amp;ADDRESS(ROW(R4),COLUMN(R4)))</f>
        <v>#DIV/0!</v>
      </c>
      <c r="Y5" s="108" t="e" cm="1">
        <f ca="1" t="array" ref="Y5">INDIRECT("'"&amp;$B$5&amp;"'"&amp;"!"&amp;ADDRESS(ROW(S4),COLUMN(S4)))</f>
        <v>#DIV/0!</v>
      </c>
      <c r="Z5" s="108" t="e" cm="1">
        <f ca="1" t="array" ref="Z5">INDIRECT("'"&amp;$B$5&amp;"'"&amp;"!"&amp;ADDRESS(ROW(T4),COLUMN(T4)))</f>
        <v>#DIV/0!</v>
      </c>
      <c r="AA5" s="108" t="e" cm="1">
        <f ca="1" t="array" ref="AA5">INDIRECT("'"&amp;$B$5&amp;"'"&amp;"!"&amp;ADDRESS(ROW(U4),COLUMN(U4)))</f>
        <v>#DIV/0!</v>
      </c>
      <c r="AB5" s="108" t="e" cm="1">
        <f ca="1" t="array" ref="AB5">INDIRECT("'"&amp;$B$5&amp;"'"&amp;"!"&amp;ADDRESS(ROW(V4),COLUMN(V4)))</f>
        <v>#DIV/0!</v>
      </c>
      <c r="AC5" s="109" t="e">
        <f ca="1" t="shared" si="3"/>
        <v>#DIV/0!</v>
      </c>
      <c r="AD5" s="108" t="e" cm="1">
        <f ca="1" t="array" ref="AD5">INDIRECT("'"&amp;$B$6&amp;"'"&amp;"!"&amp;ADDRESS(ROW(R4),COLUMN(R4)))</f>
        <v>#DIV/0!</v>
      </c>
      <c r="AE5" s="108" t="e" cm="1">
        <f ca="1" t="array" ref="AE5">INDIRECT("'"&amp;$B$6&amp;"'"&amp;"!"&amp;ADDRESS(ROW(S4),COLUMN(S4)))</f>
        <v>#DIV/0!</v>
      </c>
      <c r="AF5" s="108" t="e" cm="1">
        <f ca="1" t="array" ref="AF5">INDIRECT("'"&amp;$B$6&amp;"'"&amp;"!"&amp;ADDRESS(ROW(T4),COLUMN(T4)))</f>
        <v>#DIV/0!</v>
      </c>
      <c r="AG5" s="108" t="e" cm="1">
        <f ca="1" t="array" ref="AG5">INDIRECT("'"&amp;$B$6&amp;"'"&amp;"!"&amp;ADDRESS(ROW(U4),COLUMN(U4)))</f>
        <v>#DIV/0!</v>
      </c>
      <c r="AH5" s="108" t="e" cm="1">
        <f ca="1" t="array" ref="AH5">INDIRECT("'"&amp;$B$6&amp;"'"&amp;"!"&amp;ADDRESS(ROW(V4),COLUMN(V4)))</f>
        <v>#DIV/0!</v>
      </c>
      <c r="AI5" s="109" t="e">
        <f ca="1" t="shared" si="4"/>
        <v>#DIV/0!</v>
      </c>
    </row>
    <row r="6" ht="16.5" spans="1:35">
      <c r="A6" s="105">
        <v>5</v>
      </c>
      <c r="B6" s="105" t="str">
        <v>测算模型(5)</v>
      </c>
      <c r="C6" s="115" t="s">
        <v>23</v>
      </c>
      <c r="E6" s="19" t="s">
        <v>24</v>
      </c>
      <c r="F6" s="108" t="e" cm="1">
        <f ca="1" t="array" ref="F6">INDIRECT("'"&amp;$B$2&amp;"'"&amp;"!"&amp;ADDRESS(ROW(R5),COLUMN(R5)))</f>
        <v>#DIV/0!</v>
      </c>
      <c r="G6" s="108" t="e" cm="1">
        <f ca="1" t="array" ref="G6">INDIRECT("'"&amp;$B$2&amp;"'"&amp;"!"&amp;ADDRESS(ROW(S5),COLUMN(S5)))</f>
        <v>#DIV/0!</v>
      </c>
      <c r="H6" s="108" t="e" cm="1">
        <f ca="1" t="array" ref="H6">INDIRECT("'"&amp;$B$2&amp;"'"&amp;"!"&amp;ADDRESS(ROW(T5),COLUMN(T5)))</f>
        <v>#DIV/0!</v>
      </c>
      <c r="I6" s="108" t="e" cm="1">
        <f ca="1" t="array" ref="I6">INDIRECT("'"&amp;$B$2&amp;"'"&amp;"!"&amp;ADDRESS(ROW(U5),COLUMN(U5)))</f>
        <v>#DIV/0!</v>
      </c>
      <c r="J6" s="108" t="e" cm="1">
        <f ca="1" t="array" ref="J6">INDIRECT("'"&amp;$B$2&amp;"'"&amp;"!"&amp;ADDRESS(ROW(V5),COLUMN(V5)))</f>
        <v>#DIV/0!</v>
      </c>
      <c r="K6" s="109" t="e">
        <f ca="1" t="shared" si="0"/>
        <v>#DIV/0!</v>
      </c>
      <c r="L6" s="108" t="e" cm="1">
        <f ca="1" t="array" ref="L6">INDIRECT("'"&amp;$B$3&amp;"'"&amp;"!"&amp;ADDRESS(ROW(R5),COLUMN(R5)))</f>
        <v>#DIV/0!</v>
      </c>
      <c r="M6" s="108" t="e" cm="1">
        <f ca="1" t="array" ref="M6">INDIRECT("'"&amp;$B$3&amp;"'"&amp;"!"&amp;ADDRESS(ROW(S5),COLUMN(S5)))</f>
        <v>#DIV/0!</v>
      </c>
      <c r="N6" s="108" t="e" cm="1">
        <f ca="1" t="array" ref="N6">INDIRECT("'"&amp;$B$3&amp;"'"&amp;"!"&amp;ADDRESS(ROW(T5),COLUMN(T5)))</f>
        <v>#DIV/0!</v>
      </c>
      <c r="O6" s="108" t="e" cm="1">
        <f ca="1" t="array" ref="O6">INDIRECT("'"&amp;$B$3&amp;"'"&amp;"!"&amp;ADDRESS(ROW(U5),COLUMN(U5)))</f>
        <v>#DIV/0!</v>
      </c>
      <c r="P6" s="108" t="e" cm="1">
        <f ca="1" t="array" ref="P6">INDIRECT("'"&amp;$B$3&amp;"'"&amp;"!"&amp;ADDRESS(ROW(V5),COLUMN(V5)))</f>
        <v>#DIV/0!</v>
      </c>
      <c r="Q6" s="109" t="e">
        <f ca="1" t="shared" si="1"/>
        <v>#DIV/0!</v>
      </c>
      <c r="R6" s="108" t="e" cm="1">
        <f ca="1" t="array" ref="R6">INDIRECT("'"&amp;$B$4&amp;"'"&amp;"!"&amp;ADDRESS(ROW(R5),COLUMN(R5)))</f>
        <v>#DIV/0!</v>
      </c>
      <c r="S6" s="108" t="e" cm="1">
        <f ca="1" t="array" ref="S6">INDIRECT("'"&amp;$B$4&amp;"'"&amp;"!"&amp;ADDRESS(ROW(S5),COLUMN(S5)))</f>
        <v>#DIV/0!</v>
      </c>
      <c r="T6" s="108" t="e" cm="1">
        <f ca="1" t="array" ref="T6">INDIRECT("'"&amp;$B$4&amp;"'"&amp;"!"&amp;ADDRESS(ROW(T5),COLUMN(T5)))</f>
        <v>#DIV/0!</v>
      </c>
      <c r="U6" s="108" t="e" cm="1">
        <f ca="1" t="array" ref="U6">INDIRECT("'"&amp;$B$4&amp;"'"&amp;"!"&amp;ADDRESS(ROW(U5),COLUMN(U5)))</f>
        <v>#DIV/0!</v>
      </c>
      <c r="V6" s="108" t="e" cm="1">
        <f ca="1" t="array" ref="V6">INDIRECT("'"&amp;$B$4&amp;"'"&amp;"!"&amp;ADDRESS(ROW(V5),COLUMN(V5)))</f>
        <v>#DIV/0!</v>
      </c>
      <c r="W6" s="109" t="e">
        <f ca="1" t="shared" si="2"/>
        <v>#DIV/0!</v>
      </c>
      <c r="X6" s="108" t="e" cm="1">
        <f ca="1" t="array" ref="X6">INDIRECT("'"&amp;$B$5&amp;"'"&amp;"!"&amp;ADDRESS(ROW(R5),COLUMN(R5)))</f>
        <v>#DIV/0!</v>
      </c>
      <c r="Y6" s="108" t="e" cm="1">
        <f ca="1" t="array" ref="Y6">INDIRECT("'"&amp;$B$5&amp;"'"&amp;"!"&amp;ADDRESS(ROW(S5),COLUMN(S5)))</f>
        <v>#DIV/0!</v>
      </c>
      <c r="Z6" s="108" t="e" cm="1">
        <f ca="1" t="array" ref="Z6">INDIRECT("'"&amp;$B$5&amp;"'"&amp;"!"&amp;ADDRESS(ROW(T5),COLUMN(T5)))</f>
        <v>#DIV/0!</v>
      </c>
      <c r="AA6" s="108" t="e" cm="1">
        <f ca="1" t="array" ref="AA6">INDIRECT("'"&amp;$B$5&amp;"'"&amp;"!"&amp;ADDRESS(ROW(U5),COLUMN(U5)))</f>
        <v>#DIV/0!</v>
      </c>
      <c r="AB6" s="108" t="e" cm="1">
        <f ca="1" t="array" ref="AB6">INDIRECT("'"&amp;$B$5&amp;"'"&amp;"!"&amp;ADDRESS(ROW(V5),COLUMN(V5)))</f>
        <v>#DIV/0!</v>
      </c>
      <c r="AC6" s="109" t="e">
        <f ca="1" t="shared" si="3"/>
        <v>#DIV/0!</v>
      </c>
      <c r="AD6" s="108" t="e" cm="1">
        <f ca="1" t="array" ref="AD6">INDIRECT("'"&amp;$B$6&amp;"'"&amp;"!"&amp;ADDRESS(ROW(R5),COLUMN(R5)))</f>
        <v>#DIV/0!</v>
      </c>
      <c r="AE6" s="108" t="e" cm="1">
        <f ca="1" t="array" ref="AE6">INDIRECT("'"&amp;$B$6&amp;"'"&amp;"!"&amp;ADDRESS(ROW(S5),COLUMN(S5)))</f>
        <v>#DIV/0!</v>
      </c>
      <c r="AF6" s="108" t="e" cm="1">
        <f ca="1" t="array" ref="AF6">INDIRECT("'"&amp;$B$6&amp;"'"&amp;"!"&amp;ADDRESS(ROW(T5),COLUMN(T5)))</f>
        <v>#DIV/0!</v>
      </c>
      <c r="AG6" s="108" t="e" cm="1">
        <f ca="1" t="array" ref="AG6">INDIRECT("'"&amp;$B$6&amp;"'"&amp;"!"&amp;ADDRESS(ROW(U5),COLUMN(U5)))</f>
        <v>#DIV/0!</v>
      </c>
      <c r="AH6" s="108" t="e" cm="1">
        <f ca="1" t="array" ref="AH6">INDIRECT("'"&amp;$B$6&amp;"'"&amp;"!"&amp;ADDRESS(ROW(V5),COLUMN(V5)))</f>
        <v>#DIV/0!</v>
      </c>
      <c r="AI6" s="109" t="e">
        <f ca="1" t="shared" si="4"/>
        <v>#DIV/0!</v>
      </c>
    </row>
    <row r="7" spans="1:35">
      <c r="E7" s="19" t="s">
        <v>25</v>
      </c>
      <c r="F7" s="108" t="e" cm="1">
        <f ca="1" t="array" ref="F7">INDIRECT("'"&amp;$B$2&amp;"'"&amp;"!"&amp;ADDRESS(ROW(R6),COLUMN(R6)))</f>
        <v>#DIV/0!</v>
      </c>
      <c r="G7" s="108" t="e" cm="1">
        <f ca="1" t="array" ref="G7">INDIRECT("'"&amp;$B$2&amp;"'"&amp;"!"&amp;ADDRESS(ROW(S6),COLUMN(S6)))</f>
        <v>#DIV/0!</v>
      </c>
      <c r="H7" s="108" t="e" cm="1">
        <f ca="1" t="array" ref="H7">INDIRECT("'"&amp;$B$2&amp;"'"&amp;"!"&amp;ADDRESS(ROW(T6),COLUMN(T6)))</f>
        <v>#DIV/0!</v>
      </c>
      <c r="I7" s="108" t="e" cm="1">
        <f ca="1" t="array" ref="I7">INDIRECT("'"&amp;$B$2&amp;"'"&amp;"!"&amp;ADDRESS(ROW(U6),COLUMN(U6)))</f>
        <v>#DIV/0!</v>
      </c>
      <c r="J7" s="108" t="e" cm="1">
        <f ca="1" t="array" ref="J7">INDIRECT("'"&amp;$B$2&amp;"'"&amp;"!"&amp;ADDRESS(ROW(V6),COLUMN(V6)))</f>
        <v>#DIV/0!</v>
      </c>
      <c r="K7" s="109" t="e">
        <f ca="1" t="shared" si="0"/>
        <v>#DIV/0!</v>
      </c>
      <c r="L7" s="108" t="e" cm="1">
        <f ca="1" t="array" ref="L7">INDIRECT("'"&amp;$B$3&amp;"'"&amp;"!"&amp;ADDRESS(ROW(R6),COLUMN(R6)))</f>
        <v>#DIV/0!</v>
      </c>
      <c r="M7" s="108" t="e" cm="1">
        <f ca="1" t="array" ref="M7">INDIRECT("'"&amp;$B$3&amp;"'"&amp;"!"&amp;ADDRESS(ROW(S6),COLUMN(S6)))</f>
        <v>#DIV/0!</v>
      </c>
      <c r="N7" s="108" t="e" cm="1">
        <f ca="1" t="array" ref="N7">INDIRECT("'"&amp;$B$3&amp;"'"&amp;"!"&amp;ADDRESS(ROW(T6),COLUMN(T6)))</f>
        <v>#DIV/0!</v>
      </c>
      <c r="O7" s="108" t="e" cm="1">
        <f ca="1" t="array" ref="O7">INDIRECT("'"&amp;$B$3&amp;"'"&amp;"!"&amp;ADDRESS(ROW(U6),COLUMN(U6)))</f>
        <v>#DIV/0!</v>
      </c>
      <c r="P7" s="108" t="e" cm="1">
        <f ca="1" t="array" ref="P7">INDIRECT("'"&amp;$B$3&amp;"'"&amp;"!"&amp;ADDRESS(ROW(V6),COLUMN(V6)))</f>
        <v>#DIV/0!</v>
      </c>
      <c r="Q7" s="109" t="e">
        <f ca="1" t="shared" si="1"/>
        <v>#DIV/0!</v>
      </c>
      <c r="R7" s="108" t="e" cm="1">
        <f ca="1" t="array" ref="R7">INDIRECT("'"&amp;$B$4&amp;"'"&amp;"!"&amp;ADDRESS(ROW(R6),COLUMN(R6)))</f>
        <v>#DIV/0!</v>
      </c>
      <c r="S7" s="108" t="e" cm="1">
        <f ca="1" t="array" ref="S7">INDIRECT("'"&amp;$B$4&amp;"'"&amp;"!"&amp;ADDRESS(ROW(S6),COLUMN(S6)))</f>
        <v>#DIV/0!</v>
      </c>
      <c r="T7" s="108" t="e" cm="1">
        <f ca="1" t="array" ref="T7">INDIRECT("'"&amp;$B$4&amp;"'"&amp;"!"&amp;ADDRESS(ROW(T6),COLUMN(T6)))</f>
        <v>#DIV/0!</v>
      </c>
      <c r="U7" s="108" t="e" cm="1">
        <f ca="1" t="array" ref="U7">INDIRECT("'"&amp;$B$4&amp;"'"&amp;"!"&amp;ADDRESS(ROW(U6),COLUMN(U6)))</f>
        <v>#DIV/0!</v>
      </c>
      <c r="V7" s="108" t="e" cm="1">
        <f ca="1" t="array" ref="V7">INDIRECT("'"&amp;$B$4&amp;"'"&amp;"!"&amp;ADDRESS(ROW(V6),COLUMN(V6)))</f>
        <v>#DIV/0!</v>
      </c>
      <c r="W7" s="109" t="e">
        <f ca="1" t="shared" si="2"/>
        <v>#DIV/0!</v>
      </c>
      <c r="X7" s="108" t="e" cm="1">
        <f ca="1" t="array" ref="X7">INDIRECT("'"&amp;$B$5&amp;"'"&amp;"!"&amp;ADDRESS(ROW(R6),COLUMN(R6)))</f>
        <v>#DIV/0!</v>
      </c>
      <c r="Y7" s="108" t="e" cm="1">
        <f ca="1" t="array" ref="Y7">INDIRECT("'"&amp;$B$5&amp;"'"&amp;"!"&amp;ADDRESS(ROW(S6),COLUMN(S6)))</f>
        <v>#DIV/0!</v>
      </c>
      <c r="Z7" s="108" t="e" cm="1">
        <f ca="1" t="array" ref="Z7">INDIRECT("'"&amp;$B$5&amp;"'"&amp;"!"&amp;ADDRESS(ROW(T6),COLUMN(T6)))</f>
        <v>#DIV/0!</v>
      </c>
      <c r="AA7" s="108" t="e" cm="1">
        <f ca="1" t="array" ref="AA7">INDIRECT("'"&amp;$B$5&amp;"'"&amp;"!"&amp;ADDRESS(ROW(U6),COLUMN(U6)))</f>
        <v>#DIV/0!</v>
      </c>
      <c r="AB7" s="108" t="e" cm="1">
        <f ca="1" t="array" ref="AB7">INDIRECT("'"&amp;$B$5&amp;"'"&amp;"!"&amp;ADDRESS(ROW(V6),COLUMN(V6)))</f>
        <v>#DIV/0!</v>
      </c>
      <c r="AC7" s="109" t="e">
        <f ca="1" t="shared" si="3"/>
        <v>#DIV/0!</v>
      </c>
      <c r="AD7" s="108" t="e" cm="1">
        <f ca="1" t="array" ref="AD7">INDIRECT("'"&amp;$B$6&amp;"'"&amp;"!"&amp;ADDRESS(ROW(R6),COLUMN(R6)))</f>
        <v>#DIV/0!</v>
      </c>
      <c r="AE7" s="108" t="e" cm="1">
        <f ca="1" t="array" ref="AE7">INDIRECT("'"&amp;$B$6&amp;"'"&amp;"!"&amp;ADDRESS(ROW(S6),COLUMN(S6)))</f>
        <v>#DIV/0!</v>
      </c>
      <c r="AF7" s="108" t="e" cm="1">
        <f ca="1" t="array" ref="AF7">INDIRECT("'"&amp;$B$6&amp;"'"&amp;"!"&amp;ADDRESS(ROW(T6),COLUMN(T6)))</f>
        <v>#DIV/0!</v>
      </c>
      <c r="AG7" s="108" t="e" cm="1">
        <f ca="1" t="array" ref="AG7">INDIRECT("'"&amp;$B$6&amp;"'"&amp;"!"&amp;ADDRESS(ROW(U6),COLUMN(U6)))</f>
        <v>#DIV/0!</v>
      </c>
      <c r="AH7" s="108" t="e" cm="1">
        <f ca="1" t="array" ref="AH7">INDIRECT("'"&amp;$B$6&amp;"'"&amp;"!"&amp;ADDRESS(ROW(V6),COLUMN(V6)))</f>
        <v>#DIV/0!</v>
      </c>
      <c r="AI7" s="109" t="e">
        <f ca="1" t="shared" si="4"/>
        <v>#DIV/0!</v>
      </c>
    </row>
    <row r="8" spans="1:35">
      <c r="E8" s="19" t="s">
        <v>26</v>
      </c>
      <c r="F8" s="108" t="e" cm="1">
        <f ca="1" t="array" ref="F8">INDIRECT("'"&amp;$B$2&amp;"'"&amp;"!"&amp;ADDRESS(ROW(R7),COLUMN(R7)))</f>
        <v>#DIV/0!</v>
      </c>
      <c r="G8" s="108" t="e" cm="1">
        <f ca="1" t="array" ref="G8">INDIRECT("'"&amp;$B$2&amp;"'"&amp;"!"&amp;ADDRESS(ROW(S7),COLUMN(S7)))</f>
        <v>#DIV/0!</v>
      </c>
      <c r="H8" s="108" t="e" cm="1">
        <f ca="1" t="array" ref="H8">INDIRECT("'"&amp;$B$2&amp;"'"&amp;"!"&amp;ADDRESS(ROW(T7),COLUMN(T7)))</f>
        <v>#DIV/0!</v>
      </c>
      <c r="I8" s="108" t="e" cm="1">
        <f ca="1" t="array" ref="I8">INDIRECT("'"&amp;$B$2&amp;"'"&amp;"!"&amp;ADDRESS(ROW(U7),COLUMN(U7)))</f>
        <v>#DIV/0!</v>
      </c>
      <c r="J8" s="108" t="e" cm="1">
        <f ca="1" t="array" ref="J8">INDIRECT("'"&amp;$B$2&amp;"'"&amp;"!"&amp;ADDRESS(ROW(V7),COLUMN(V7)))</f>
        <v>#DIV/0!</v>
      </c>
      <c r="K8" s="109" t="e">
        <f ca="1" t="shared" si="0"/>
        <v>#DIV/0!</v>
      </c>
      <c r="L8" s="108" t="e" cm="1">
        <f ca="1" t="array" ref="L8">INDIRECT("'"&amp;$B$3&amp;"'"&amp;"!"&amp;ADDRESS(ROW(R7),COLUMN(R7)))</f>
        <v>#DIV/0!</v>
      </c>
      <c r="M8" s="108" t="e" cm="1">
        <f ca="1" t="array" ref="M8">INDIRECT("'"&amp;$B$3&amp;"'"&amp;"!"&amp;ADDRESS(ROW(S7),COLUMN(S7)))</f>
        <v>#DIV/0!</v>
      </c>
      <c r="N8" s="108" t="e" cm="1">
        <f ca="1" t="array" ref="N8">INDIRECT("'"&amp;$B$3&amp;"'"&amp;"!"&amp;ADDRESS(ROW(T7),COLUMN(T7)))</f>
        <v>#DIV/0!</v>
      </c>
      <c r="O8" s="108" t="e" cm="1">
        <f ca="1" t="array" ref="O8">INDIRECT("'"&amp;$B$3&amp;"'"&amp;"!"&amp;ADDRESS(ROW(U7),COLUMN(U7)))</f>
        <v>#DIV/0!</v>
      </c>
      <c r="P8" s="108" t="e" cm="1">
        <f ca="1" t="array" ref="P8">INDIRECT("'"&amp;$B$3&amp;"'"&amp;"!"&amp;ADDRESS(ROW(V7),COLUMN(V7)))</f>
        <v>#DIV/0!</v>
      </c>
      <c r="Q8" s="109" t="e">
        <f ca="1" t="shared" si="1"/>
        <v>#DIV/0!</v>
      </c>
      <c r="R8" s="108" t="e" cm="1">
        <f ca="1" t="array" ref="R8">INDIRECT("'"&amp;$B$4&amp;"'"&amp;"!"&amp;ADDRESS(ROW(R7),COLUMN(R7)))</f>
        <v>#DIV/0!</v>
      </c>
      <c r="S8" s="108" t="e" cm="1">
        <f ca="1" t="array" ref="S8">INDIRECT("'"&amp;$B$4&amp;"'"&amp;"!"&amp;ADDRESS(ROW(S7),COLUMN(S7)))</f>
        <v>#DIV/0!</v>
      </c>
      <c r="T8" s="108" t="e" cm="1">
        <f ca="1" t="array" ref="T8">INDIRECT("'"&amp;$B$4&amp;"'"&amp;"!"&amp;ADDRESS(ROW(T7),COLUMN(T7)))</f>
        <v>#DIV/0!</v>
      </c>
      <c r="U8" s="108" t="e" cm="1">
        <f ca="1" t="array" ref="U8">INDIRECT("'"&amp;$B$4&amp;"'"&amp;"!"&amp;ADDRESS(ROW(U7),COLUMN(U7)))</f>
        <v>#DIV/0!</v>
      </c>
      <c r="V8" s="108" t="e" cm="1">
        <f ca="1" t="array" ref="V8">INDIRECT("'"&amp;$B$4&amp;"'"&amp;"!"&amp;ADDRESS(ROW(V7),COLUMN(V7)))</f>
        <v>#DIV/0!</v>
      </c>
      <c r="W8" s="109" t="e">
        <f ca="1" t="shared" si="2"/>
        <v>#DIV/0!</v>
      </c>
      <c r="X8" s="108" t="e" cm="1">
        <f ca="1" t="array" ref="X8">INDIRECT("'"&amp;$B$5&amp;"'"&amp;"!"&amp;ADDRESS(ROW(R7),COLUMN(R7)))</f>
        <v>#DIV/0!</v>
      </c>
      <c r="Y8" s="108" t="e" cm="1">
        <f ca="1" t="array" ref="Y8">INDIRECT("'"&amp;$B$5&amp;"'"&amp;"!"&amp;ADDRESS(ROW(S7),COLUMN(S7)))</f>
        <v>#DIV/0!</v>
      </c>
      <c r="Z8" s="108" t="e" cm="1">
        <f ca="1" t="array" ref="Z8">INDIRECT("'"&amp;$B$5&amp;"'"&amp;"!"&amp;ADDRESS(ROW(T7),COLUMN(T7)))</f>
        <v>#DIV/0!</v>
      </c>
      <c r="AA8" s="108" t="e" cm="1">
        <f ca="1" t="array" ref="AA8">INDIRECT("'"&amp;$B$5&amp;"'"&amp;"!"&amp;ADDRESS(ROW(U7),COLUMN(U7)))</f>
        <v>#DIV/0!</v>
      </c>
      <c r="AB8" s="108" t="e" cm="1">
        <f ca="1" t="array" ref="AB8">INDIRECT("'"&amp;$B$5&amp;"'"&amp;"!"&amp;ADDRESS(ROW(V7),COLUMN(V7)))</f>
        <v>#DIV/0!</v>
      </c>
      <c r="AC8" s="109" t="e">
        <f ca="1" t="shared" si="3"/>
        <v>#DIV/0!</v>
      </c>
      <c r="AD8" s="108" t="e" cm="1">
        <f ca="1" t="array" ref="AD8">INDIRECT("'"&amp;$B$6&amp;"'"&amp;"!"&amp;ADDRESS(ROW(R7),COLUMN(R7)))</f>
        <v>#DIV/0!</v>
      </c>
      <c r="AE8" s="108" t="e" cm="1">
        <f ca="1" t="array" ref="AE8">INDIRECT("'"&amp;$B$6&amp;"'"&amp;"!"&amp;ADDRESS(ROW(S7),COLUMN(S7)))</f>
        <v>#DIV/0!</v>
      </c>
      <c r="AF8" s="108" t="e" cm="1">
        <f ca="1" t="array" ref="AF8">INDIRECT("'"&amp;$B$6&amp;"'"&amp;"!"&amp;ADDRESS(ROW(T7),COLUMN(T7)))</f>
        <v>#DIV/0!</v>
      </c>
      <c r="AG8" s="108" t="e" cm="1">
        <f ca="1" t="array" ref="AG8">INDIRECT("'"&amp;$B$6&amp;"'"&amp;"!"&amp;ADDRESS(ROW(U7),COLUMN(U7)))</f>
        <v>#DIV/0!</v>
      </c>
      <c r="AH8" s="108" t="e" cm="1">
        <f ca="1" t="array" ref="AH8">INDIRECT("'"&amp;$B$6&amp;"'"&amp;"!"&amp;ADDRESS(ROW(V7),COLUMN(V7)))</f>
        <v>#DIV/0!</v>
      </c>
      <c r="AI8" s="109" t="e">
        <f ca="1" t="shared" si="4"/>
        <v>#DIV/0!</v>
      </c>
    </row>
    <row r="9" spans="1:35">
      <c r="E9" s="19" t="s">
        <v>27</v>
      </c>
      <c r="F9" s="108" t="e" cm="1">
        <f ca="1" t="array" ref="F9">INDIRECT("'"&amp;$B$2&amp;"'"&amp;"!"&amp;ADDRESS(ROW(R8),COLUMN(R8)))</f>
        <v>#DIV/0!</v>
      </c>
      <c r="G9" s="108" t="e" cm="1">
        <f ca="1" t="array" ref="G9">INDIRECT("'"&amp;$B$2&amp;"'"&amp;"!"&amp;ADDRESS(ROW(S8),COLUMN(S8)))</f>
        <v>#DIV/0!</v>
      </c>
      <c r="H9" s="108" t="e" cm="1">
        <f ca="1" t="array" ref="H9">INDIRECT("'"&amp;$B$2&amp;"'"&amp;"!"&amp;ADDRESS(ROW(T8),COLUMN(T8)))</f>
        <v>#DIV/0!</v>
      </c>
      <c r="I9" s="108" t="e" cm="1">
        <f ca="1" t="array" ref="I9">INDIRECT("'"&amp;$B$2&amp;"'"&amp;"!"&amp;ADDRESS(ROW(U8),COLUMN(U8)))</f>
        <v>#DIV/0!</v>
      </c>
      <c r="J9" s="108" t="e" cm="1">
        <f ca="1" t="array" ref="J9">INDIRECT("'"&amp;$B$2&amp;"'"&amp;"!"&amp;ADDRESS(ROW(V8),COLUMN(V8)))</f>
        <v>#DIV/0!</v>
      </c>
      <c r="K9" s="109" t="e">
        <f ca="1" t="shared" si="0"/>
        <v>#DIV/0!</v>
      </c>
      <c r="L9" s="108" t="e" cm="1">
        <f ca="1" t="array" ref="L9">INDIRECT("'"&amp;$B$3&amp;"'"&amp;"!"&amp;ADDRESS(ROW(R8),COLUMN(R8)))</f>
        <v>#DIV/0!</v>
      </c>
      <c r="M9" s="108" t="e" cm="1">
        <f ca="1" t="array" ref="M9">INDIRECT("'"&amp;$B$3&amp;"'"&amp;"!"&amp;ADDRESS(ROW(S8),COLUMN(S8)))</f>
        <v>#DIV/0!</v>
      </c>
      <c r="N9" s="108" t="e" cm="1">
        <f ca="1" t="array" ref="N9">INDIRECT("'"&amp;$B$3&amp;"'"&amp;"!"&amp;ADDRESS(ROW(T8),COLUMN(T8)))</f>
        <v>#DIV/0!</v>
      </c>
      <c r="O9" s="108" t="e" cm="1">
        <f ca="1" t="array" ref="O9">INDIRECT("'"&amp;$B$3&amp;"'"&amp;"!"&amp;ADDRESS(ROW(U8),COLUMN(U8)))</f>
        <v>#DIV/0!</v>
      </c>
      <c r="P9" s="108" t="e" cm="1">
        <f ca="1" t="array" ref="P9">INDIRECT("'"&amp;$B$3&amp;"'"&amp;"!"&amp;ADDRESS(ROW(V8),COLUMN(V8)))</f>
        <v>#DIV/0!</v>
      </c>
      <c r="Q9" s="109" t="e">
        <f ca="1" t="shared" si="1"/>
        <v>#DIV/0!</v>
      </c>
      <c r="R9" s="108" t="e" cm="1">
        <f ca="1" t="array" ref="R9">INDIRECT("'"&amp;$B$4&amp;"'"&amp;"!"&amp;ADDRESS(ROW(R8),COLUMN(R8)))</f>
        <v>#DIV/0!</v>
      </c>
      <c r="S9" s="108" t="e" cm="1">
        <f ca="1" t="array" ref="S9">INDIRECT("'"&amp;$B$4&amp;"'"&amp;"!"&amp;ADDRESS(ROW(S8),COLUMN(S8)))</f>
        <v>#DIV/0!</v>
      </c>
      <c r="T9" s="108" t="e" cm="1">
        <f ca="1" t="array" ref="T9">INDIRECT("'"&amp;$B$4&amp;"'"&amp;"!"&amp;ADDRESS(ROW(T8),COLUMN(T8)))</f>
        <v>#DIV/0!</v>
      </c>
      <c r="U9" s="108" t="e" cm="1">
        <f ca="1" t="array" ref="U9">INDIRECT("'"&amp;$B$4&amp;"'"&amp;"!"&amp;ADDRESS(ROW(U8),COLUMN(U8)))</f>
        <v>#DIV/0!</v>
      </c>
      <c r="V9" s="108" t="e" cm="1">
        <f ca="1" t="array" ref="V9">INDIRECT("'"&amp;$B$4&amp;"'"&amp;"!"&amp;ADDRESS(ROW(V8),COLUMN(V8)))</f>
        <v>#DIV/0!</v>
      </c>
      <c r="W9" s="109" t="e">
        <f ca="1" t="shared" si="2"/>
        <v>#DIV/0!</v>
      </c>
      <c r="X9" s="108" t="e" cm="1">
        <f ca="1" t="array" ref="X9">INDIRECT("'"&amp;$B$5&amp;"'"&amp;"!"&amp;ADDRESS(ROW(R8),COLUMN(R8)))</f>
        <v>#DIV/0!</v>
      </c>
      <c r="Y9" s="108" t="e" cm="1">
        <f ca="1" t="array" ref="Y9">INDIRECT("'"&amp;$B$5&amp;"'"&amp;"!"&amp;ADDRESS(ROW(S8),COLUMN(S8)))</f>
        <v>#DIV/0!</v>
      </c>
      <c r="Z9" s="108" t="e" cm="1">
        <f ca="1" t="array" ref="Z9">INDIRECT("'"&amp;$B$5&amp;"'"&amp;"!"&amp;ADDRESS(ROW(T8),COLUMN(T8)))</f>
        <v>#DIV/0!</v>
      </c>
      <c r="AA9" s="108" t="e" cm="1">
        <f ca="1" t="array" ref="AA9">INDIRECT("'"&amp;$B$5&amp;"'"&amp;"!"&amp;ADDRESS(ROW(U8),COLUMN(U8)))</f>
        <v>#DIV/0!</v>
      </c>
      <c r="AB9" s="108" t="e" cm="1">
        <f ca="1" t="array" ref="AB9">INDIRECT("'"&amp;$B$5&amp;"'"&amp;"!"&amp;ADDRESS(ROW(V8),COLUMN(V8)))</f>
        <v>#DIV/0!</v>
      </c>
      <c r="AC9" s="109" t="e">
        <f ca="1" t="shared" si="3"/>
        <v>#DIV/0!</v>
      </c>
      <c r="AD9" s="108" t="e" cm="1">
        <f ca="1" t="array" ref="AD9">INDIRECT("'"&amp;$B$6&amp;"'"&amp;"!"&amp;ADDRESS(ROW(R8),COLUMN(R8)))</f>
        <v>#DIV/0!</v>
      </c>
      <c r="AE9" s="108" t="e" cm="1">
        <f ca="1" t="array" ref="AE9">INDIRECT("'"&amp;$B$6&amp;"'"&amp;"!"&amp;ADDRESS(ROW(S8),COLUMN(S8)))</f>
        <v>#DIV/0!</v>
      </c>
      <c r="AF9" s="108" t="e" cm="1">
        <f ca="1" t="array" ref="AF9">INDIRECT("'"&amp;$B$6&amp;"'"&amp;"!"&amp;ADDRESS(ROW(T8),COLUMN(T8)))</f>
        <v>#DIV/0!</v>
      </c>
      <c r="AG9" s="108" t="e" cm="1">
        <f ca="1" t="array" ref="AG9">INDIRECT("'"&amp;$B$6&amp;"'"&amp;"!"&amp;ADDRESS(ROW(U8),COLUMN(U8)))</f>
        <v>#DIV/0!</v>
      </c>
      <c r="AH9" s="108" t="e" cm="1">
        <f ca="1" t="array" ref="AH9">INDIRECT("'"&amp;$B$6&amp;"'"&amp;"!"&amp;ADDRESS(ROW(V8),COLUMN(V8)))</f>
        <v>#DIV/0!</v>
      </c>
      <c r="AI9" s="109" t="e">
        <f ca="1" t="shared" si="4"/>
        <v>#DIV/0!</v>
      </c>
    </row>
    <row r="10" spans="1:35">
      <c r="E10" s="19" t="s">
        <v>28</v>
      </c>
      <c r="F10" s="108" t="e" cm="1">
        <f ca="1" t="array" ref="F10">INDIRECT("'"&amp;$B$2&amp;"'"&amp;"!"&amp;ADDRESS(ROW(R9),COLUMN(R9)))</f>
        <v>#DIV/0!</v>
      </c>
      <c r="G10" s="108" t="e" cm="1">
        <f ca="1" t="array" ref="G10">INDIRECT("'"&amp;$B$2&amp;"'"&amp;"!"&amp;ADDRESS(ROW(S9),COLUMN(S9)))</f>
        <v>#DIV/0!</v>
      </c>
      <c r="H10" s="108" t="e" cm="1">
        <f ca="1" t="array" ref="H10">INDIRECT("'"&amp;$B$2&amp;"'"&amp;"!"&amp;ADDRESS(ROW(T9),COLUMN(T9)))</f>
        <v>#DIV/0!</v>
      </c>
      <c r="I10" s="108" t="e" cm="1">
        <f ca="1" t="array" ref="I10">INDIRECT("'"&amp;$B$2&amp;"'"&amp;"!"&amp;ADDRESS(ROW(U9),COLUMN(U9)))</f>
        <v>#DIV/0!</v>
      </c>
      <c r="J10" s="108" t="e" cm="1">
        <f ca="1" t="array" ref="J10">INDIRECT("'"&amp;$B$2&amp;"'"&amp;"!"&amp;ADDRESS(ROW(V9),COLUMN(V9)))</f>
        <v>#DIV/0!</v>
      </c>
      <c r="K10" s="109" t="e">
        <f ca="1" t="shared" si="0"/>
        <v>#DIV/0!</v>
      </c>
      <c r="L10" s="108" t="e" cm="1">
        <f ca="1" t="array" ref="L10">INDIRECT("'"&amp;$B$3&amp;"'"&amp;"!"&amp;ADDRESS(ROW(R9),COLUMN(R9)))</f>
        <v>#DIV/0!</v>
      </c>
      <c r="M10" s="108" t="e" cm="1">
        <f ca="1" t="array" ref="M10">INDIRECT("'"&amp;$B$3&amp;"'"&amp;"!"&amp;ADDRESS(ROW(S9),COLUMN(S9)))</f>
        <v>#DIV/0!</v>
      </c>
      <c r="N10" s="108" t="e" cm="1">
        <f ca="1" t="array" ref="N10">INDIRECT("'"&amp;$B$3&amp;"'"&amp;"!"&amp;ADDRESS(ROW(T9),COLUMN(T9)))</f>
        <v>#DIV/0!</v>
      </c>
      <c r="O10" s="108" t="e" cm="1">
        <f ca="1" t="array" ref="O10">INDIRECT("'"&amp;$B$3&amp;"'"&amp;"!"&amp;ADDRESS(ROW(U9),COLUMN(U9)))</f>
        <v>#DIV/0!</v>
      </c>
      <c r="P10" s="108" t="e" cm="1">
        <f ca="1" t="array" ref="P10">INDIRECT("'"&amp;$B$3&amp;"'"&amp;"!"&amp;ADDRESS(ROW(V9),COLUMN(V9)))</f>
        <v>#DIV/0!</v>
      </c>
      <c r="Q10" s="109" t="e">
        <f ca="1" t="shared" si="1"/>
        <v>#DIV/0!</v>
      </c>
      <c r="R10" s="108" t="e" cm="1">
        <f ca="1" t="array" ref="R10">INDIRECT("'"&amp;$B$4&amp;"'"&amp;"!"&amp;ADDRESS(ROW(R9),COLUMN(R9)))</f>
        <v>#DIV/0!</v>
      </c>
      <c r="S10" s="108" t="e" cm="1">
        <f ca="1" t="array" ref="S10">INDIRECT("'"&amp;$B$4&amp;"'"&amp;"!"&amp;ADDRESS(ROW(S9),COLUMN(S9)))</f>
        <v>#DIV/0!</v>
      </c>
      <c r="T10" s="108" t="e" cm="1">
        <f ca="1" t="array" ref="T10">INDIRECT("'"&amp;$B$4&amp;"'"&amp;"!"&amp;ADDRESS(ROW(T9),COLUMN(T9)))</f>
        <v>#DIV/0!</v>
      </c>
      <c r="U10" s="108" t="e" cm="1">
        <f ca="1" t="array" ref="U10">INDIRECT("'"&amp;$B$4&amp;"'"&amp;"!"&amp;ADDRESS(ROW(U9),COLUMN(U9)))</f>
        <v>#DIV/0!</v>
      </c>
      <c r="V10" s="108" t="e" cm="1">
        <f ca="1" t="array" ref="V10">INDIRECT("'"&amp;$B$4&amp;"'"&amp;"!"&amp;ADDRESS(ROW(V9),COLUMN(V9)))</f>
        <v>#DIV/0!</v>
      </c>
      <c r="W10" s="109" t="e">
        <f ca="1" t="shared" si="2"/>
        <v>#DIV/0!</v>
      </c>
      <c r="X10" s="108" t="e" cm="1">
        <f ca="1" t="array" ref="X10">INDIRECT("'"&amp;$B$5&amp;"'"&amp;"!"&amp;ADDRESS(ROW(R9),COLUMN(R9)))</f>
        <v>#DIV/0!</v>
      </c>
      <c r="Y10" s="108" t="e" cm="1">
        <f ca="1" t="array" ref="Y10">INDIRECT("'"&amp;$B$5&amp;"'"&amp;"!"&amp;ADDRESS(ROW(S9),COLUMN(S9)))</f>
        <v>#DIV/0!</v>
      </c>
      <c r="Z10" s="108" t="e" cm="1">
        <f ca="1" t="array" ref="Z10">INDIRECT("'"&amp;$B$5&amp;"'"&amp;"!"&amp;ADDRESS(ROW(T9),COLUMN(T9)))</f>
        <v>#DIV/0!</v>
      </c>
      <c r="AA10" s="108" t="e" cm="1">
        <f ca="1" t="array" ref="AA10">INDIRECT("'"&amp;$B$5&amp;"'"&amp;"!"&amp;ADDRESS(ROW(U9),COLUMN(U9)))</f>
        <v>#DIV/0!</v>
      </c>
      <c r="AB10" s="108" t="e" cm="1">
        <f ca="1" t="array" ref="AB10">INDIRECT("'"&amp;$B$5&amp;"'"&amp;"!"&amp;ADDRESS(ROW(V9),COLUMN(V9)))</f>
        <v>#DIV/0!</v>
      </c>
      <c r="AC10" s="109" t="e">
        <f ca="1" t="shared" si="3"/>
        <v>#DIV/0!</v>
      </c>
      <c r="AD10" s="108" t="e" cm="1">
        <f ca="1" t="array" ref="AD10">INDIRECT("'"&amp;$B$6&amp;"'"&amp;"!"&amp;ADDRESS(ROW(R9),COLUMN(R9)))</f>
        <v>#DIV/0!</v>
      </c>
      <c r="AE10" s="108" t="e" cm="1">
        <f ca="1" t="array" ref="AE10">INDIRECT("'"&amp;$B$6&amp;"'"&amp;"!"&amp;ADDRESS(ROW(S9),COLUMN(S9)))</f>
        <v>#DIV/0!</v>
      </c>
      <c r="AF10" s="108" t="e" cm="1">
        <f ca="1" t="array" ref="AF10">INDIRECT("'"&amp;$B$6&amp;"'"&amp;"!"&amp;ADDRESS(ROW(T9),COLUMN(T9)))</f>
        <v>#DIV/0!</v>
      </c>
      <c r="AG10" s="108" t="e" cm="1">
        <f ca="1" t="array" ref="AG10">INDIRECT("'"&amp;$B$6&amp;"'"&amp;"!"&amp;ADDRESS(ROW(U9),COLUMN(U9)))</f>
        <v>#DIV/0!</v>
      </c>
      <c r="AH10" s="108" t="e" cm="1">
        <f ca="1" t="array" ref="AH10">INDIRECT("'"&amp;$B$6&amp;"'"&amp;"!"&amp;ADDRESS(ROW(V9),COLUMN(V9)))</f>
        <v>#DIV/0!</v>
      </c>
      <c r="AI10" s="109" t="e">
        <f ca="1" t="shared" si="4"/>
        <v>#DIV/0!</v>
      </c>
    </row>
    <row r="11" spans="1:35">
      <c r="E11" s="19" t="s">
        <v>29</v>
      </c>
      <c r="F11" s="108" t="e" cm="1">
        <f ca="1" t="array" ref="F11">INDIRECT("'"&amp;$B$2&amp;"'"&amp;"!"&amp;ADDRESS(ROW(R10),COLUMN(R10)))</f>
        <v>#DIV/0!</v>
      </c>
      <c r="G11" s="108" t="e" cm="1">
        <f ca="1" t="array" ref="G11">INDIRECT("'"&amp;$B$2&amp;"'"&amp;"!"&amp;ADDRESS(ROW(S10),COLUMN(S10)))</f>
        <v>#DIV/0!</v>
      </c>
      <c r="H11" s="108" t="e" cm="1">
        <f ca="1" t="array" ref="H11">INDIRECT("'"&amp;$B$2&amp;"'"&amp;"!"&amp;ADDRESS(ROW(T10),COLUMN(T10)))</f>
        <v>#DIV/0!</v>
      </c>
      <c r="I11" s="108" t="e" cm="1">
        <f ca="1" t="array" ref="I11">INDIRECT("'"&amp;$B$2&amp;"'"&amp;"!"&amp;ADDRESS(ROW(U10),COLUMN(U10)))</f>
        <v>#DIV/0!</v>
      </c>
      <c r="J11" s="108" t="e" cm="1">
        <f ca="1" t="array" ref="J11">INDIRECT("'"&amp;$B$2&amp;"'"&amp;"!"&amp;ADDRESS(ROW(V10),COLUMN(V10)))</f>
        <v>#DIV/0!</v>
      </c>
      <c r="K11" s="109" t="e">
        <f ca="1" t="shared" si="0"/>
        <v>#DIV/0!</v>
      </c>
      <c r="L11" s="108" t="e" cm="1">
        <f ca="1" t="array" ref="L11">INDIRECT("'"&amp;$B$3&amp;"'"&amp;"!"&amp;ADDRESS(ROW(R10),COLUMN(R10)))</f>
        <v>#DIV/0!</v>
      </c>
      <c r="M11" s="108" t="e" cm="1">
        <f ca="1" t="array" ref="M11">INDIRECT("'"&amp;$B$3&amp;"'"&amp;"!"&amp;ADDRESS(ROW(S10),COLUMN(S10)))</f>
        <v>#DIV/0!</v>
      </c>
      <c r="N11" s="108" t="e" cm="1">
        <f ca="1" t="array" ref="N11">INDIRECT("'"&amp;$B$3&amp;"'"&amp;"!"&amp;ADDRESS(ROW(T10),COLUMN(T10)))</f>
        <v>#DIV/0!</v>
      </c>
      <c r="O11" s="108" t="e" cm="1">
        <f ca="1" t="array" ref="O11">INDIRECT("'"&amp;$B$3&amp;"'"&amp;"!"&amp;ADDRESS(ROW(U10),COLUMN(U10)))</f>
        <v>#DIV/0!</v>
      </c>
      <c r="P11" s="108" t="e" cm="1">
        <f ca="1" t="array" ref="P11">INDIRECT("'"&amp;$B$3&amp;"'"&amp;"!"&amp;ADDRESS(ROW(V10),COLUMN(V10)))</f>
        <v>#DIV/0!</v>
      </c>
      <c r="Q11" s="109" t="e">
        <f ca="1" t="shared" si="1"/>
        <v>#DIV/0!</v>
      </c>
      <c r="R11" s="108" t="e" cm="1">
        <f ca="1" t="array" ref="R11">INDIRECT("'"&amp;$B$4&amp;"'"&amp;"!"&amp;ADDRESS(ROW(R10),COLUMN(R10)))</f>
        <v>#DIV/0!</v>
      </c>
      <c r="S11" s="108" t="e" cm="1">
        <f ca="1" t="array" ref="S11">INDIRECT("'"&amp;$B$4&amp;"'"&amp;"!"&amp;ADDRESS(ROW(S10),COLUMN(S10)))</f>
        <v>#DIV/0!</v>
      </c>
      <c r="T11" s="108" t="e" cm="1">
        <f ca="1" t="array" ref="T11">INDIRECT("'"&amp;$B$4&amp;"'"&amp;"!"&amp;ADDRESS(ROW(T10),COLUMN(T10)))</f>
        <v>#DIV/0!</v>
      </c>
      <c r="U11" s="108" t="e" cm="1">
        <f ca="1" t="array" ref="U11">INDIRECT("'"&amp;$B$4&amp;"'"&amp;"!"&amp;ADDRESS(ROW(U10),COLUMN(U10)))</f>
        <v>#DIV/0!</v>
      </c>
      <c r="V11" s="108" t="e" cm="1">
        <f ca="1" t="array" ref="V11">INDIRECT("'"&amp;$B$4&amp;"'"&amp;"!"&amp;ADDRESS(ROW(V10),COLUMN(V10)))</f>
        <v>#DIV/0!</v>
      </c>
      <c r="W11" s="109" t="e">
        <f ca="1" t="shared" si="2"/>
        <v>#DIV/0!</v>
      </c>
      <c r="X11" s="108" t="e" cm="1">
        <f ca="1" t="array" ref="X11">INDIRECT("'"&amp;$B$5&amp;"'"&amp;"!"&amp;ADDRESS(ROW(R10),COLUMN(R10)))</f>
        <v>#DIV/0!</v>
      </c>
      <c r="Y11" s="108" t="e" cm="1">
        <f ca="1" t="array" ref="Y11">INDIRECT("'"&amp;$B$5&amp;"'"&amp;"!"&amp;ADDRESS(ROW(S10),COLUMN(S10)))</f>
        <v>#DIV/0!</v>
      </c>
      <c r="Z11" s="108" t="e" cm="1">
        <f ca="1" t="array" ref="Z11">INDIRECT("'"&amp;$B$5&amp;"'"&amp;"!"&amp;ADDRESS(ROW(T10),COLUMN(T10)))</f>
        <v>#DIV/0!</v>
      </c>
      <c r="AA11" s="108" t="e" cm="1">
        <f ca="1" t="array" ref="AA11">INDIRECT("'"&amp;$B$5&amp;"'"&amp;"!"&amp;ADDRESS(ROW(U10),COLUMN(U10)))</f>
        <v>#DIV/0!</v>
      </c>
      <c r="AB11" s="108" t="e" cm="1">
        <f ca="1" t="array" ref="AB11">INDIRECT("'"&amp;$B$5&amp;"'"&amp;"!"&amp;ADDRESS(ROW(V10),COLUMN(V10)))</f>
        <v>#DIV/0!</v>
      </c>
      <c r="AC11" s="109" t="e">
        <f ca="1" t="shared" si="3"/>
        <v>#DIV/0!</v>
      </c>
      <c r="AD11" s="108" t="e" cm="1">
        <f ca="1" t="array" ref="AD11">INDIRECT("'"&amp;$B$6&amp;"'"&amp;"!"&amp;ADDRESS(ROW(R10),COLUMN(R10)))</f>
        <v>#DIV/0!</v>
      </c>
      <c r="AE11" s="108" t="e" cm="1">
        <f ca="1" t="array" ref="AE11">INDIRECT("'"&amp;$B$6&amp;"'"&amp;"!"&amp;ADDRESS(ROW(S10),COLUMN(S10)))</f>
        <v>#DIV/0!</v>
      </c>
      <c r="AF11" s="108" t="e" cm="1">
        <f ca="1" t="array" ref="AF11">INDIRECT("'"&amp;$B$6&amp;"'"&amp;"!"&amp;ADDRESS(ROW(T10),COLUMN(T10)))</f>
        <v>#DIV/0!</v>
      </c>
      <c r="AG11" s="108" t="e" cm="1">
        <f ca="1" t="array" ref="AG11">INDIRECT("'"&amp;$B$6&amp;"'"&amp;"!"&amp;ADDRESS(ROW(U10),COLUMN(U10)))</f>
        <v>#DIV/0!</v>
      </c>
      <c r="AH11" s="108" t="e" cm="1">
        <f ca="1" t="array" ref="AH11">INDIRECT("'"&amp;$B$6&amp;"'"&amp;"!"&amp;ADDRESS(ROW(V10),COLUMN(V10)))</f>
        <v>#DIV/0!</v>
      </c>
      <c r="AI11" s="109" t="e">
        <f ca="1" t="shared" si="4"/>
        <v>#DIV/0!</v>
      </c>
    </row>
    <row r="12" spans="1:35">
      <c r="E12" s="19" t="s">
        <v>30</v>
      </c>
      <c r="F12" s="108" t="e" cm="1">
        <f ca="1" t="array" ref="F12">INDIRECT("'"&amp;$B$2&amp;"'"&amp;"!"&amp;ADDRESS(ROW(R11),COLUMN(R11)))</f>
        <v>#DIV/0!</v>
      </c>
      <c r="G12" s="108" t="e" cm="1">
        <f ca="1" t="array" ref="G12">INDIRECT("'"&amp;$B$2&amp;"'"&amp;"!"&amp;ADDRESS(ROW(S11),COLUMN(S11)))</f>
        <v>#DIV/0!</v>
      </c>
      <c r="H12" s="108" t="e" cm="1">
        <f ca="1" t="array" ref="H12">INDIRECT("'"&amp;$B$2&amp;"'"&amp;"!"&amp;ADDRESS(ROW(T11),COLUMN(T11)))</f>
        <v>#DIV/0!</v>
      </c>
      <c r="I12" s="108" t="e" cm="1">
        <f ca="1" t="array" ref="I12">INDIRECT("'"&amp;$B$2&amp;"'"&amp;"!"&amp;ADDRESS(ROW(U11),COLUMN(U11)))</f>
        <v>#DIV/0!</v>
      </c>
      <c r="J12" s="108" t="e" cm="1">
        <f ca="1" t="array" ref="J12">INDIRECT("'"&amp;$B$2&amp;"'"&amp;"!"&amp;ADDRESS(ROW(V11),COLUMN(V11)))</f>
        <v>#DIV/0!</v>
      </c>
      <c r="K12" s="109" t="e">
        <f ca="1" t="shared" si="0"/>
        <v>#DIV/0!</v>
      </c>
      <c r="L12" s="108" t="e" cm="1">
        <f ca="1" t="array" ref="L12">INDIRECT("'"&amp;$B$3&amp;"'"&amp;"!"&amp;ADDRESS(ROW(R11),COLUMN(R11)))</f>
        <v>#DIV/0!</v>
      </c>
      <c r="M12" s="108" t="e" cm="1">
        <f ca="1" t="array" ref="M12">INDIRECT("'"&amp;$B$3&amp;"'"&amp;"!"&amp;ADDRESS(ROW(S11),COLUMN(S11)))</f>
        <v>#DIV/0!</v>
      </c>
      <c r="N12" s="108" t="e" cm="1">
        <f ca="1" t="array" ref="N12">INDIRECT("'"&amp;$B$3&amp;"'"&amp;"!"&amp;ADDRESS(ROW(T11),COLUMN(T11)))</f>
        <v>#DIV/0!</v>
      </c>
      <c r="O12" s="108" t="e" cm="1">
        <f ca="1" t="array" ref="O12">INDIRECT("'"&amp;$B$3&amp;"'"&amp;"!"&amp;ADDRESS(ROW(U11),COLUMN(U11)))</f>
        <v>#DIV/0!</v>
      </c>
      <c r="P12" s="108" t="e" cm="1">
        <f ca="1" t="array" ref="P12">INDIRECT("'"&amp;$B$3&amp;"'"&amp;"!"&amp;ADDRESS(ROW(V11),COLUMN(V11)))</f>
        <v>#DIV/0!</v>
      </c>
      <c r="Q12" s="109" t="e">
        <f ca="1" t="shared" si="1"/>
        <v>#DIV/0!</v>
      </c>
      <c r="R12" s="108" t="e" cm="1">
        <f ca="1" t="array" ref="R12">INDIRECT("'"&amp;$B$4&amp;"'"&amp;"!"&amp;ADDRESS(ROW(R11),COLUMN(R11)))</f>
        <v>#DIV/0!</v>
      </c>
      <c r="S12" s="108" t="e" cm="1">
        <f ca="1" t="array" ref="S12">INDIRECT("'"&amp;$B$4&amp;"'"&amp;"!"&amp;ADDRESS(ROW(S11),COLUMN(S11)))</f>
        <v>#DIV/0!</v>
      </c>
      <c r="T12" s="108" t="e" cm="1">
        <f ca="1" t="array" ref="T12">INDIRECT("'"&amp;$B$4&amp;"'"&amp;"!"&amp;ADDRESS(ROW(T11),COLUMN(T11)))</f>
        <v>#DIV/0!</v>
      </c>
      <c r="U12" s="108" t="e" cm="1">
        <f ca="1" t="array" ref="U12">INDIRECT("'"&amp;$B$4&amp;"'"&amp;"!"&amp;ADDRESS(ROW(U11),COLUMN(U11)))</f>
        <v>#DIV/0!</v>
      </c>
      <c r="V12" s="108" t="e" cm="1">
        <f ca="1" t="array" ref="V12">INDIRECT("'"&amp;$B$4&amp;"'"&amp;"!"&amp;ADDRESS(ROW(V11),COLUMN(V11)))</f>
        <v>#DIV/0!</v>
      </c>
      <c r="W12" s="109" t="e">
        <f ca="1" t="shared" si="2"/>
        <v>#DIV/0!</v>
      </c>
      <c r="X12" s="108" t="e" cm="1">
        <f ca="1" t="array" ref="X12">INDIRECT("'"&amp;$B$5&amp;"'"&amp;"!"&amp;ADDRESS(ROW(R11),COLUMN(R11)))</f>
        <v>#DIV/0!</v>
      </c>
      <c r="Y12" s="108" t="e" cm="1">
        <f ca="1" t="array" ref="Y12">INDIRECT("'"&amp;$B$5&amp;"'"&amp;"!"&amp;ADDRESS(ROW(S11),COLUMN(S11)))</f>
        <v>#DIV/0!</v>
      </c>
      <c r="Z12" s="108" t="e" cm="1">
        <f ca="1" t="array" ref="Z12">INDIRECT("'"&amp;$B$5&amp;"'"&amp;"!"&amp;ADDRESS(ROW(T11),COLUMN(T11)))</f>
        <v>#DIV/0!</v>
      </c>
      <c r="AA12" s="108" t="e" cm="1">
        <f ca="1" t="array" ref="AA12">INDIRECT("'"&amp;$B$5&amp;"'"&amp;"!"&amp;ADDRESS(ROW(U11),COLUMN(U11)))</f>
        <v>#DIV/0!</v>
      </c>
      <c r="AB12" s="108" t="e" cm="1">
        <f ca="1" t="array" ref="AB12">INDIRECT("'"&amp;$B$5&amp;"'"&amp;"!"&amp;ADDRESS(ROW(V11),COLUMN(V11)))</f>
        <v>#DIV/0!</v>
      </c>
      <c r="AC12" s="109" t="e">
        <f ca="1" t="shared" si="3"/>
        <v>#DIV/0!</v>
      </c>
      <c r="AD12" s="108" t="e" cm="1">
        <f ca="1" t="array" ref="AD12">INDIRECT("'"&amp;$B$6&amp;"'"&amp;"!"&amp;ADDRESS(ROW(R11),COLUMN(R11)))</f>
        <v>#DIV/0!</v>
      </c>
      <c r="AE12" s="108" t="e" cm="1">
        <f ca="1" t="array" ref="AE12">INDIRECT("'"&amp;$B$6&amp;"'"&amp;"!"&amp;ADDRESS(ROW(S11),COLUMN(S11)))</f>
        <v>#DIV/0!</v>
      </c>
      <c r="AF12" s="108" t="e" cm="1">
        <f ca="1" t="array" ref="AF12">INDIRECT("'"&amp;$B$6&amp;"'"&amp;"!"&amp;ADDRESS(ROW(T11),COLUMN(T11)))</f>
        <v>#DIV/0!</v>
      </c>
      <c r="AG12" s="108" t="e" cm="1">
        <f ca="1" t="array" ref="AG12">INDIRECT("'"&amp;$B$6&amp;"'"&amp;"!"&amp;ADDRESS(ROW(U11),COLUMN(U11)))</f>
        <v>#DIV/0!</v>
      </c>
      <c r="AH12" s="108" t="e" cm="1">
        <f ca="1" t="array" ref="AH12">INDIRECT("'"&amp;$B$6&amp;"'"&amp;"!"&amp;ADDRESS(ROW(V11),COLUMN(V11)))</f>
        <v>#DIV/0!</v>
      </c>
      <c r="AI12" s="109" t="e">
        <f ca="1" t="shared" si="4"/>
        <v>#DIV/0!</v>
      </c>
    </row>
    <row r="13" spans="1:35">
      <c r="E13" s="19" t="s">
        <v>31</v>
      </c>
      <c r="F13" s="108" t="e" cm="1">
        <f ca="1" t="array" ref="F13">INDIRECT("'"&amp;$B$2&amp;"'"&amp;"!"&amp;ADDRESS(ROW(R12),COLUMN(R12)))</f>
        <v>#DIV/0!</v>
      </c>
      <c r="G13" s="108" t="e" cm="1">
        <f ca="1" t="array" ref="G13">INDIRECT("'"&amp;$B$2&amp;"'"&amp;"!"&amp;ADDRESS(ROW(S12),COLUMN(S12)))</f>
        <v>#DIV/0!</v>
      </c>
      <c r="H13" s="108" t="e" cm="1">
        <f ca="1" t="array" ref="H13">INDIRECT("'"&amp;$B$2&amp;"'"&amp;"!"&amp;ADDRESS(ROW(T12),COLUMN(T12)))</f>
        <v>#DIV/0!</v>
      </c>
      <c r="I13" s="108" t="e" cm="1">
        <f ca="1" t="array" ref="I13">INDIRECT("'"&amp;$B$2&amp;"'"&amp;"!"&amp;ADDRESS(ROW(U12),COLUMN(U12)))</f>
        <v>#DIV/0!</v>
      </c>
      <c r="J13" s="108" t="e" cm="1">
        <f ca="1" t="array" ref="J13">INDIRECT("'"&amp;$B$2&amp;"'"&amp;"!"&amp;ADDRESS(ROW(V12),COLUMN(V12)))</f>
        <v>#DIV/0!</v>
      </c>
      <c r="K13" s="109" t="e">
        <f ca="1" t="shared" si="0"/>
        <v>#DIV/0!</v>
      </c>
      <c r="L13" s="108" t="e" cm="1">
        <f ca="1" t="array" ref="L13">INDIRECT("'"&amp;$B$3&amp;"'"&amp;"!"&amp;ADDRESS(ROW(R12),COLUMN(R12)))</f>
        <v>#DIV/0!</v>
      </c>
      <c r="M13" s="108" t="e" cm="1">
        <f ca="1" t="array" ref="M13">INDIRECT("'"&amp;$B$3&amp;"'"&amp;"!"&amp;ADDRESS(ROW(S12),COLUMN(S12)))</f>
        <v>#DIV/0!</v>
      </c>
      <c r="N13" s="108" t="e" cm="1">
        <f ca="1" t="array" ref="N13">INDIRECT("'"&amp;$B$3&amp;"'"&amp;"!"&amp;ADDRESS(ROW(T12),COLUMN(T12)))</f>
        <v>#DIV/0!</v>
      </c>
      <c r="O13" s="108" t="e" cm="1">
        <f ca="1" t="array" ref="O13">INDIRECT("'"&amp;$B$3&amp;"'"&amp;"!"&amp;ADDRESS(ROW(U12),COLUMN(U12)))</f>
        <v>#DIV/0!</v>
      </c>
      <c r="P13" s="108" t="e" cm="1">
        <f ca="1" t="array" ref="P13">INDIRECT("'"&amp;$B$3&amp;"'"&amp;"!"&amp;ADDRESS(ROW(V12),COLUMN(V12)))</f>
        <v>#DIV/0!</v>
      </c>
      <c r="Q13" s="109" t="e">
        <f ca="1" t="shared" si="1"/>
        <v>#DIV/0!</v>
      </c>
      <c r="R13" s="108" t="e" cm="1">
        <f ca="1" t="array" ref="R13">INDIRECT("'"&amp;$B$4&amp;"'"&amp;"!"&amp;ADDRESS(ROW(R12),COLUMN(R12)))</f>
        <v>#DIV/0!</v>
      </c>
      <c r="S13" s="108" t="e" cm="1">
        <f ca="1" t="array" ref="S13">INDIRECT("'"&amp;$B$4&amp;"'"&amp;"!"&amp;ADDRESS(ROW(S12),COLUMN(S12)))</f>
        <v>#DIV/0!</v>
      </c>
      <c r="T13" s="108" t="e" cm="1">
        <f ca="1" t="array" ref="T13">INDIRECT("'"&amp;$B$4&amp;"'"&amp;"!"&amp;ADDRESS(ROW(T12),COLUMN(T12)))</f>
        <v>#DIV/0!</v>
      </c>
      <c r="U13" s="108" t="e" cm="1">
        <f ca="1" t="array" ref="U13">INDIRECT("'"&amp;$B$4&amp;"'"&amp;"!"&amp;ADDRESS(ROW(U12),COLUMN(U12)))</f>
        <v>#DIV/0!</v>
      </c>
      <c r="V13" s="108" t="e" cm="1">
        <f ca="1" t="array" ref="V13">INDIRECT("'"&amp;$B$4&amp;"'"&amp;"!"&amp;ADDRESS(ROW(V12),COLUMN(V12)))</f>
        <v>#DIV/0!</v>
      </c>
      <c r="W13" s="109" t="e">
        <f ca="1" t="shared" si="2"/>
        <v>#DIV/0!</v>
      </c>
      <c r="X13" s="108" t="e" cm="1">
        <f ca="1" t="array" ref="X13">INDIRECT("'"&amp;$B$5&amp;"'"&amp;"!"&amp;ADDRESS(ROW(R12),COLUMN(R12)))</f>
        <v>#DIV/0!</v>
      </c>
      <c r="Y13" s="108" t="e" cm="1">
        <f ca="1" t="array" ref="Y13">INDIRECT("'"&amp;$B$5&amp;"'"&amp;"!"&amp;ADDRESS(ROW(S12),COLUMN(S12)))</f>
        <v>#DIV/0!</v>
      </c>
      <c r="Z13" s="108" t="e" cm="1">
        <f ca="1" t="array" ref="Z13">INDIRECT("'"&amp;$B$5&amp;"'"&amp;"!"&amp;ADDRESS(ROW(T12),COLUMN(T12)))</f>
        <v>#DIV/0!</v>
      </c>
      <c r="AA13" s="108" t="e" cm="1">
        <f ca="1" t="array" ref="AA13">INDIRECT("'"&amp;$B$5&amp;"'"&amp;"!"&amp;ADDRESS(ROW(U12),COLUMN(U12)))</f>
        <v>#DIV/0!</v>
      </c>
      <c r="AB13" s="108" t="e" cm="1">
        <f ca="1" t="array" ref="AB13">INDIRECT("'"&amp;$B$5&amp;"'"&amp;"!"&amp;ADDRESS(ROW(V12),COLUMN(V12)))</f>
        <v>#DIV/0!</v>
      </c>
      <c r="AC13" s="109" t="e">
        <f ca="1" t="shared" si="3"/>
        <v>#DIV/0!</v>
      </c>
      <c r="AD13" s="108" t="e" cm="1">
        <f ca="1" t="array" ref="AD13">INDIRECT("'"&amp;$B$6&amp;"'"&amp;"!"&amp;ADDRESS(ROW(R12),COLUMN(R12)))</f>
        <v>#DIV/0!</v>
      </c>
      <c r="AE13" s="108" t="e" cm="1">
        <f ca="1" t="array" ref="AE13">INDIRECT("'"&amp;$B$6&amp;"'"&amp;"!"&amp;ADDRESS(ROW(S12),COLUMN(S12)))</f>
        <v>#DIV/0!</v>
      </c>
      <c r="AF13" s="108" t="e" cm="1">
        <f ca="1" t="array" ref="AF13">INDIRECT("'"&amp;$B$6&amp;"'"&amp;"!"&amp;ADDRESS(ROW(T12),COLUMN(T12)))</f>
        <v>#DIV/0!</v>
      </c>
      <c r="AG13" s="108" t="e" cm="1">
        <f ca="1" t="array" ref="AG13">INDIRECT("'"&amp;$B$6&amp;"'"&amp;"!"&amp;ADDRESS(ROW(U12),COLUMN(U12)))</f>
        <v>#DIV/0!</v>
      </c>
      <c r="AH13" s="108" t="e" cm="1">
        <f ca="1" t="array" ref="AH13">INDIRECT("'"&amp;$B$6&amp;"'"&amp;"!"&amp;ADDRESS(ROW(V12),COLUMN(V12)))</f>
        <v>#DIV/0!</v>
      </c>
      <c r="AI13" s="109" t="e">
        <f ca="1" t="shared" si="4"/>
        <v>#DIV/0!</v>
      </c>
    </row>
    <row r="14" spans="1:35">
      <c r="E14" s="48" t="s">
        <v>18</v>
      </c>
      <c r="F14" s="49" t="e">
        <f ca="1">SUM(F4:F13)</f>
        <v>#DIV/0!</v>
      </c>
      <c r="G14" s="49" t="e">
        <f ca="1">SUM(G4:G13)</f>
        <v>#DIV/0!</v>
      </c>
      <c r="H14" s="49" t="e">
        <f ca="1">SUM(H4:H13)</f>
        <v>#DIV/0!</v>
      </c>
      <c r="I14" s="49" t="e">
        <f ca="1">SUM(I4:I13)</f>
        <v>#DIV/0!</v>
      </c>
      <c r="J14" s="49" t="e">
        <f ca="1">SUM(J4:J13)</f>
        <v>#DIV/0!</v>
      </c>
      <c r="K14" s="110" t="e">
        <f ca="1" t="shared" si="0"/>
        <v>#DIV/0!</v>
      </c>
      <c r="L14" s="49" t="e">
        <f ca="1">SUM(L4:L13)</f>
        <v>#DIV/0!</v>
      </c>
      <c r="M14" s="49" t="e">
        <f ca="1">SUM(M4:M13)</f>
        <v>#DIV/0!</v>
      </c>
      <c r="N14" s="49" t="e">
        <f ca="1">SUM(N4:N13)</f>
        <v>#DIV/0!</v>
      </c>
      <c r="O14" s="49" t="e">
        <f ca="1">SUM(O4:O13)</f>
        <v>#DIV/0!</v>
      </c>
      <c r="P14" s="49" t="e">
        <f ca="1">SUM(P4:P13)</f>
        <v>#DIV/0!</v>
      </c>
      <c r="Q14" s="110" t="e">
        <f ca="1" t="shared" si="1"/>
        <v>#DIV/0!</v>
      </c>
      <c r="R14" s="49" t="e">
        <f ca="1">SUM(R4:R13)</f>
        <v>#DIV/0!</v>
      </c>
      <c r="S14" s="49" t="e">
        <f ca="1">SUM(S4:S13)</f>
        <v>#DIV/0!</v>
      </c>
      <c r="T14" s="49" t="e">
        <f ca="1">SUM(T4:T13)</f>
        <v>#DIV/0!</v>
      </c>
      <c r="U14" s="49" t="e">
        <f ca="1">SUM(U4:U13)</f>
        <v>#DIV/0!</v>
      </c>
      <c r="V14" s="49" t="e">
        <f ca="1">SUM(V4:V13)</f>
        <v>#DIV/0!</v>
      </c>
      <c r="W14" s="110" t="e">
        <f ca="1" t="shared" si="2"/>
        <v>#DIV/0!</v>
      </c>
      <c r="X14" s="49" t="e">
        <f ca="1">SUM(X4:X13)</f>
        <v>#DIV/0!</v>
      </c>
      <c r="Y14" s="49" t="e">
        <f ca="1">SUM(Y4:Y13)</f>
        <v>#DIV/0!</v>
      </c>
      <c r="Z14" s="49" t="e">
        <f ca="1">SUM(Z4:Z13)</f>
        <v>#DIV/0!</v>
      </c>
      <c r="AA14" s="49" t="e">
        <f ca="1">SUM(AA4:AA13)</f>
        <v>#DIV/0!</v>
      </c>
      <c r="AB14" s="49" t="e">
        <f ca="1">SUM(AB4:AB13)</f>
        <v>#DIV/0!</v>
      </c>
      <c r="AC14" s="110" t="e">
        <f ca="1" t="shared" si="3"/>
        <v>#DIV/0!</v>
      </c>
      <c r="AD14" s="49" t="e">
        <f ca="1">SUM(AD4:AD13)</f>
        <v>#DIV/0!</v>
      </c>
      <c r="AE14" s="49" t="e">
        <f ca="1">SUM(AE4:AE13)</f>
        <v>#DIV/0!</v>
      </c>
      <c r="AF14" s="49" t="e">
        <f ca="1">SUM(AF4:AF13)</f>
        <v>#DIV/0!</v>
      </c>
      <c r="AG14" s="49" t="e">
        <f ca="1">SUM(AG4:AG13)</f>
        <v>#DIV/0!</v>
      </c>
      <c r="AH14" s="49" t="e">
        <f ca="1">SUM(AH4:AH13)</f>
        <v>#DIV/0!</v>
      </c>
      <c r="AI14" s="110" t="e">
        <f ca="1" t="shared" si="4"/>
        <v>#DIV/0!</v>
      </c>
    </row>
    <row r="17" s="105" customFormat="1" spans="5:35">
      <c r="E17" s="64" t="s">
        <v>32</v>
      </c>
      <c r="F17" s="64"/>
      <c r="G17" s="2"/>
      <c r="H17" s="2"/>
      <c r="I17" s="2"/>
      <c r="J17" s="2"/>
      <c r="K17" s="2"/>
    </row>
    <row r="18" s="105" customFormat="1" spans="5:35">
      <c r="E18" s="9" t="s">
        <v>5</v>
      </c>
      <c r="F18" s="28" t="s">
        <v>6</v>
      </c>
      <c r="G18" s="28"/>
      <c r="H18" s="28"/>
      <c r="I18" s="28"/>
      <c r="J18" s="28"/>
      <c r="K18" s="28"/>
      <c r="L18" s="28" t="s">
        <v>7</v>
      </c>
      <c r="M18" s="28"/>
      <c r="N18" s="28"/>
      <c r="O18" s="28"/>
      <c r="P18" s="28"/>
      <c r="Q18" s="28"/>
      <c r="R18" s="28" t="s">
        <v>8</v>
      </c>
      <c r="S18" s="28"/>
      <c r="T18" s="28"/>
      <c r="U18" s="28"/>
      <c r="V18" s="28"/>
      <c r="W18" s="28"/>
      <c r="X18" s="28" t="s">
        <v>9</v>
      </c>
      <c r="Y18" s="28"/>
      <c r="Z18" s="28"/>
      <c r="AA18" s="28"/>
      <c r="AB18" s="28"/>
      <c r="AC18" s="28"/>
      <c r="AD18" s="28" t="s">
        <v>10</v>
      </c>
      <c r="AE18" s="28"/>
      <c r="AF18" s="28"/>
      <c r="AG18" s="28"/>
      <c r="AH18" s="28"/>
      <c r="AI18" s="28"/>
    </row>
    <row r="19" spans="5:35">
      <c r="E19" s="9" t="s">
        <v>12</v>
      </c>
      <c r="F19" s="9" t="s">
        <v>13</v>
      </c>
      <c r="G19" s="9" t="s">
        <v>14</v>
      </c>
      <c r="H19" s="9" t="s">
        <v>15</v>
      </c>
      <c r="I19" s="9" t="s">
        <v>16</v>
      </c>
      <c r="J19" s="9" t="s">
        <v>17</v>
      </c>
      <c r="K19" s="107" t="s">
        <v>18</v>
      </c>
      <c r="L19" s="9" t="s">
        <v>13</v>
      </c>
      <c r="M19" s="9" t="s">
        <v>14</v>
      </c>
      <c r="N19" s="9" t="s">
        <v>15</v>
      </c>
      <c r="O19" s="9" t="s">
        <v>16</v>
      </c>
      <c r="P19" s="9" t="s">
        <v>17</v>
      </c>
      <c r="Q19" s="107" t="s">
        <v>18</v>
      </c>
      <c r="R19" s="9" t="s">
        <v>13</v>
      </c>
      <c r="S19" s="9" t="s">
        <v>14</v>
      </c>
      <c r="T19" s="9" t="s">
        <v>15</v>
      </c>
      <c r="U19" s="9" t="s">
        <v>16</v>
      </c>
      <c r="V19" s="9" t="s">
        <v>17</v>
      </c>
      <c r="W19" s="107" t="s">
        <v>18</v>
      </c>
      <c r="X19" s="9" t="s">
        <v>13</v>
      </c>
      <c r="Y19" s="9" t="s">
        <v>14</v>
      </c>
      <c r="Z19" s="9" t="s">
        <v>15</v>
      </c>
      <c r="AA19" s="9" t="s">
        <v>16</v>
      </c>
      <c r="AB19" s="9" t="s">
        <v>17</v>
      </c>
      <c r="AC19" s="107" t="s">
        <v>18</v>
      </c>
      <c r="AD19" s="9" t="s">
        <v>13</v>
      </c>
      <c r="AE19" s="9" t="s">
        <v>14</v>
      </c>
      <c r="AF19" s="9" t="s">
        <v>15</v>
      </c>
      <c r="AG19" s="9" t="s">
        <v>16</v>
      </c>
      <c r="AH19" s="9" t="s">
        <v>17</v>
      </c>
      <c r="AI19" s="107" t="s">
        <v>18</v>
      </c>
    </row>
    <row r="20" spans="5:35">
      <c r="E20" s="19" t="s">
        <v>20</v>
      </c>
      <c r="F20" s="108" cm="1">
        <f ca="1" t="array" ref="F20">INDIRECT("'"&amp;$B$2&amp;"'"&amp;"!"&amp;ADDRESS(ROW(R18),COLUMN(R18)))</f>
        <v>0</v>
      </c>
      <c r="G20" s="108" t="e" cm="1">
        <f ca="1" t="array" ref="G20">INDIRECT("'"&amp;$B$2&amp;"'"&amp;"!"&amp;ADDRESS(ROW(S18),COLUMN(S18)))</f>
        <v>#DIV/0!</v>
      </c>
      <c r="H20" s="108" t="e" cm="1">
        <f ca="1" t="array" ref="H20">INDIRECT("'"&amp;$B$2&amp;"'"&amp;"!"&amp;ADDRESS(ROW(T18),COLUMN(T18)))</f>
        <v>#DIV/0!</v>
      </c>
      <c r="I20" s="108" t="e" cm="1">
        <f ca="1" t="array" ref="I20">INDIRECT("'"&amp;$B$2&amp;"'"&amp;"!"&amp;ADDRESS(ROW(U18),COLUMN(U18)))</f>
        <v>#DIV/0!</v>
      </c>
      <c r="J20" s="108" t="e" cm="1">
        <f ca="1" t="array" ref="J20">INDIRECT("'"&amp;$B$2&amp;"'"&amp;"!"&amp;ADDRESS(ROW(V18),COLUMN(V18)))</f>
        <v>#DIV/0!</v>
      </c>
      <c r="K20" s="109" t="e">
        <f ca="1" t="shared" ref="K20:K30" si="5">F20-G20-H20-I20-J20</f>
        <v>#DIV/0!</v>
      </c>
      <c r="L20" s="108" cm="1">
        <f ca="1" t="array" ref="L20">INDIRECT("'"&amp;$B$3&amp;"'"&amp;"!"&amp;ADDRESS(ROW(R18),COLUMN(R18)))</f>
        <v>0</v>
      </c>
      <c r="M20" s="108" t="e" cm="1">
        <f ca="1" t="array" ref="M20">INDIRECT("'"&amp;$B$3&amp;"'"&amp;"!"&amp;ADDRESS(ROW(S18),COLUMN(S18)))</f>
        <v>#DIV/0!</v>
      </c>
      <c r="N20" s="108" t="e" cm="1">
        <f ca="1" t="array" ref="N20">INDIRECT("'"&amp;$B$3&amp;"'"&amp;"!"&amp;ADDRESS(ROW(T18),COLUMN(T18)))</f>
        <v>#DIV/0!</v>
      </c>
      <c r="O20" s="108" t="e" cm="1">
        <f ca="1" t="array" ref="O20">INDIRECT("'"&amp;$B$3&amp;"'"&amp;"!"&amp;ADDRESS(ROW(U18),COLUMN(U18)))</f>
        <v>#DIV/0!</v>
      </c>
      <c r="P20" s="108" t="e" cm="1">
        <f ca="1" t="array" ref="P20">INDIRECT("'"&amp;$B$3&amp;"'"&amp;"!"&amp;ADDRESS(ROW(V18),COLUMN(V18)))</f>
        <v>#DIV/0!</v>
      </c>
      <c r="Q20" s="109" t="e">
        <f ca="1" t="shared" ref="Q20:Q30" si="6">L20-M20-N20-O20-P20</f>
        <v>#DIV/0!</v>
      </c>
      <c r="R20" s="108" cm="1">
        <f ca="1" t="array" ref="R20">INDIRECT("'"&amp;$B$4&amp;"'"&amp;"!"&amp;ADDRESS(ROW(R18),COLUMN(R18)))</f>
        <v>0</v>
      </c>
      <c r="S20" s="108" t="e" cm="1">
        <f ca="1" t="array" ref="S20">INDIRECT("'"&amp;$B$4&amp;"'"&amp;"!"&amp;ADDRESS(ROW(S18),COLUMN(S18)))</f>
        <v>#DIV/0!</v>
      </c>
      <c r="T20" s="108" t="e" cm="1">
        <f ca="1" t="array" ref="T20">INDIRECT("'"&amp;$B$4&amp;"'"&amp;"!"&amp;ADDRESS(ROW(T18),COLUMN(T18)))</f>
        <v>#DIV/0!</v>
      </c>
      <c r="U20" s="108" t="e" cm="1">
        <f ca="1" t="array" ref="U20">INDIRECT("'"&amp;$B$4&amp;"'"&amp;"!"&amp;ADDRESS(ROW(U18),COLUMN(U18)))</f>
        <v>#DIV/0!</v>
      </c>
      <c r="V20" s="108" t="e" cm="1">
        <f ca="1" t="array" ref="V20">INDIRECT("'"&amp;$B$4&amp;"'"&amp;"!"&amp;ADDRESS(ROW(V18),COLUMN(V18)))</f>
        <v>#DIV/0!</v>
      </c>
      <c r="W20" s="109" t="e">
        <f ca="1" t="shared" ref="W20:W30" si="7">R20-S20-T20-U20-V20</f>
        <v>#DIV/0!</v>
      </c>
      <c r="X20" s="108" cm="1">
        <f ca="1" t="array" ref="X20">INDIRECT("'"&amp;$B$5&amp;"'"&amp;"!"&amp;ADDRESS(ROW(R18),COLUMN(R18)))</f>
        <v>0</v>
      </c>
      <c r="Y20" s="108" t="e" cm="1">
        <f ca="1" t="array" ref="Y20">INDIRECT("'"&amp;$B$5&amp;"'"&amp;"!"&amp;ADDRESS(ROW(S18),COLUMN(S18)))</f>
        <v>#DIV/0!</v>
      </c>
      <c r="Z20" s="108" t="e" cm="1">
        <f ca="1" t="array" ref="Z20">INDIRECT("'"&amp;$B$5&amp;"'"&amp;"!"&amp;ADDRESS(ROW(T18),COLUMN(T18)))</f>
        <v>#DIV/0!</v>
      </c>
      <c r="AA20" s="108" t="e" cm="1">
        <f ca="1" t="array" ref="AA20">INDIRECT("'"&amp;$B$5&amp;"'"&amp;"!"&amp;ADDRESS(ROW(U18),COLUMN(U18)))</f>
        <v>#DIV/0!</v>
      </c>
      <c r="AB20" s="108" t="e" cm="1">
        <f ca="1" t="array" ref="AB20">INDIRECT("'"&amp;$B$5&amp;"'"&amp;"!"&amp;ADDRESS(ROW(V18),COLUMN(V18)))</f>
        <v>#DIV/0!</v>
      </c>
      <c r="AC20" s="109" t="e">
        <f ca="1" t="shared" ref="AC20:AC30" si="8">X20-Y20-Z20-AA20-AB20</f>
        <v>#DIV/0!</v>
      </c>
      <c r="AD20" s="108" cm="1">
        <f ca="1" t="array" ref="AD20">INDIRECT("'"&amp;$B$6&amp;"'"&amp;"!"&amp;ADDRESS(ROW(R18),COLUMN(R18)))</f>
        <v>0</v>
      </c>
      <c r="AE20" s="108" t="e" cm="1">
        <f ca="1" t="array" ref="AE20">INDIRECT("'"&amp;$B$6&amp;"'"&amp;"!"&amp;ADDRESS(ROW(S18),COLUMN(S18)))</f>
        <v>#DIV/0!</v>
      </c>
      <c r="AF20" s="108" t="e" cm="1">
        <f ca="1" t="array" ref="AF20">INDIRECT("'"&amp;$B$6&amp;"'"&amp;"!"&amp;ADDRESS(ROW(T18),COLUMN(T18)))</f>
        <v>#DIV/0!</v>
      </c>
      <c r="AG20" s="108" t="e" cm="1">
        <f ca="1" t="array" ref="AG20">INDIRECT("'"&amp;$B$6&amp;"'"&amp;"!"&amp;ADDRESS(ROW(U18),COLUMN(U18)))</f>
        <v>#DIV/0!</v>
      </c>
      <c r="AH20" s="108" t="e" cm="1">
        <f ca="1" t="array" ref="AH20">INDIRECT("'"&amp;$B$6&amp;"'"&amp;"!"&amp;ADDRESS(ROW(V18),COLUMN(V18)))</f>
        <v>#DIV/0!</v>
      </c>
      <c r="AI20" s="109" t="e">
        <f ca="1" t="shared" ref="AI20:AI30" si="9">AD20-AE20-AF20-AG20-AH20</f>
        <v>#DIV/0!</v>
      </c>
    </row>
    <row r="21" spans="5:35">
      <c r="E21" s="19" t="s">
        <v>22</v>
      </c>
      <c r="F21" s="108" cm="1">
        <f ca="1" t="array" ref="F21">INDIRECT("'"&amp;$B$2&amp;"'"&amp;"!"&amp;ADDRESS(ROW(R19),COLUMN(R19)))</f>
        <v>0</v>
      </c>
      <c r="G21" s="108" t="e" cm="1">
        <f ca="1" t="array" ref="G21">INDIRECT("'"&amp;$B$2&amp;"'"&amp;"!"&amp;ADDRESS(ROW(S19),COLUMN(S19)))</f>
        <v>#DIV/0!</v>
      </c>
      <c r="H21" s="108" t="e" cm="1">
        <f ca="1" t="array" ref="H21">INDIRECT("'"&amp;$B$2&amp;"'"&amp;"!"&amp;ADDRESS(ROW(T19),COLUMN(T19)))</f>
        <v>#DIV/0!</v>
      </c>
      <c r="I21" s="108" t="e" cm="1">
        <f ca="1" t="array" ref="I21">INDIRECT("'"&amp;$B$2&amp;"'"&amp;"!"&amp;ADDRESS(ROW(U19),COLUMN(U19)))</f>
        <v>#DIV/0!</v>
      </c>
      <c r="J21" s="108" t="e" cm="1">
        <f ca="1" t="array" ref="J21">INDIRECT("'"&amp;$B$2&amp;"'"&amp;"!"&amp;ADDRESS(ROW(V19),COLUMN(V19)))</f>
        <v>#DIV/0!</v>
      </c>
      <c r="K21" s="109" t="e">
        <f ca="1" t="shared" si="5"/>
        <v>#DIV/0!</v>
      </c>
      <c r="L21" s="108" cm="1">
        <f ca="1" t="array" ref="L21">INDIRECT("'"&amp;$B$3&amp;"'"&amp;"!"&amp;ADDRESS(ROW(R19),COLUMN(R19)))</f>
        <v>0</v>
      </c>
      <c r="M21" s="108" t="e" cm="1">
        <f ca="1" t="array" ref="M21">INDIRECT("'"&amp;$B$3&amp;"'"&amp;"!"&amp;ADDRESS(ROW(S19),COLUMN(S19)))</f>
        <v>#DIV/0!</v>
      </c>
      <c r="N21" s="108" t="e" cm="1">
        <f ca="1" t="array" ref="N21">INDIRECT("'"&amp;$B$3&amp;"'"&amp;"!"&amp;ADDRESS(ROW(T19),COLUMN(T19)))</f>
        <v>#DIV/0!</v>
      </c>
      <c r="O21" s="108" t="e" cm="1">
        <f ca="1" t="array" ref="O21">INDIRECT("'"&amp;$B$3&amp;"'"&amp;"!"&amp;ADDRESS(ROW(U19),COLUMN(U19)))</f>
        <v>#DIV/0!</v>
      </c>
      <c r="P21" s="108" t="e" cm="1">
        <f ca="1" t="array" ref="P21">INDIRECT("'"&amp;$B$3&amp;"'"&amp;"!"&amp;ADDRESS(ROW(V19),COLUMN(V19)))</f>
        <v>#DIV/0!</v>
      </c>
      <c r="Q21" s="109" t="e">
        <f ca="1" t="shared" si="6"/>
        <v>#DIV/0!</v>
      </c>
      <c r="R21" s="108" cm="1">
        <f ca="1" t="array" ref="R21">INDIRECT("'"&amp;$B$4&amp;"'"&amp;"!"&amp;ADDRESS(ROW(R19),COLUMN(R19)))</f>
        <v>0</v>
      </c>
      <c r="S21" s="108" t="e" cm="1">
        <f ca="1" t="array" ref="S21">INDIRECT("'"&amp;$B$4&amp;"'"&amp;"!"&amp;ADDRESS(ROW(S19),COLUMN(S19)))</f>
        <v>#DIV/0!</v>
      </c>
      <c r="T21" s="108" t="e" cm="1">
        <f ca="1" t="array" ref="T21">INDIRECT("'"&amp;$B$4&amp;"'"&amp;"!"&amp;ADDRESS(ROW(T19),COLUMN(T19)))</f>
        <v>#DIV/0!</v>
      </c>
      <c r="U21" s="108" t="e" cm="1">
        <f ca="1" t="array" ref="U21">INDIRECT("'"&amp;$B$4&amp;"'"&amp;"!"&amp;ADDRESS(ROW(U19),COLUMN(U19)))</f>
        <v>#DIV/0!</v>
      </c>
      <c r="V21" s="108" t="e" cm="1">
        <f ca="1" t="array" ref="V21">INDIRECT("'"&amp;$B$4&amp;"'"&amp;"!"&amp;ADDRESS(ROW(V19),COLUMN(V19)))</f>
        <v>#DIV/0!</v>
      </c>
      <c r="W21" s="109" t="e">
        <f ca="1" t="shared" si="7"/>
        <v>#DIV/0!</v>
      </c>
      <c r="X21" s="108" cm="1">
        <f ca="1" t="array" ref="X21">INDIRECT("'"&amp;$B$5&amp;"'"&amp;"!"&amp;ADDRESS(ROW(R19),COLUMN(R19)))</f>
        <v>0</v>
      </c>
      <c r="Y21" s="108" t="e" cm="1">
        <f ca="1" t="array" ref="Y21">INDIRECT("'"&amp;$B$5&amp;"'"&amp;"!"&amp;ADDRESS(ROW(S19),COLUMN(S19)))</f>
        <v>#DIV/0!</v>
      </c>
      <c r="Z21" s="108" t="e" cm="1">
        <f ca="1" t="array" ref="Z21">INDIRECT("'"&amp;$B$5&amp;"'"&amp;"!"&amp;ADDRESS(ROW(T19),COLUMN(T19)))</f>
        <v>#DIV/0!</v>
      </c>
      <c r="AA21" s="108" t="e" cm="1">
        <f ca="1" t="array" ref="AA21">INDIRECT("'"&amp;$B$5&amp;"'"&amp;"!"&amp;ADDRESS(ROW(U19),COLUMN(U19)))</f>
        <v>#DIV/0!</v>
      </c>
      <c r="AB21" s="108" t="e" cm="1">
        <f ca="1" t="array" ref="AB21">INDIRECT("'"&amp;$B$5&amp;"'"&amp;"!"&amp;ADDRESS(ROW(V19),COLUMN(V19)))</f>
        <v>#DIV/0!</v>
      </c>
      <c r="AC21" s="109" t="e">
        <f ca="1" t="shared" si="8"/>
        <v>#DIV/0!</v>
      </c>
      <c r="AD21" s="108" cm="1">
        <f ca="1" t="array" ref="AD21">INDIRECT("'"&amp;$B$6&amp;"'"&amp;"!"&amp;ADDRESS(ROW(R19),COLUMN(R19)))</f>
        <v>0</v>
      </c>
      <c r="AE21" s="108" t="e" cm="1">
        <f ca="1" t="array" ref="AE21">INDIRECT("'"&amp;$B$6&amp;"'"&amp;"!"&amp;ADDRESS(ROW(S19),COLUMN(S19)))</f>
        <v>#DIV/0!</v>
      </c>
      <c r="AF21" s="108" t="e" cm="1">
        <f ca="1" t="array" ref="AF21">INDIRECT("'"&amp;$B$6&amp;"'"&amp;"!"&amp;ADDRESS(ROW(T19),COLUMN(T19)))</f>
        <v>#DIV/0!</v>
      </c>
      <c r="AG21" s="108" t="e" cm="1">
        <f ca="1" t="array" ref="AG21">INDIRECT("'"&amp;$B$6&amp;"'"&amp;"!"&amp;ADDRESS(ROW(U19),COLUMN(U19)))</f>
        <v>#DIV/0!</v>
      </c>
      <c r="AH21" s="108" t="e" cm="1">
        <f ca="1" t="array" ref="AH21">INDIRECT("'"&amp;$B$6&amp;"'"&amp;"!"&amp;ADDRESS(ROW(V19),COLUMN(V19)))</f>
        <v>#DIV/0!</v>
      </c>
      <c r="AI21" s="109" t="e">
        <f ca="1" t="shared" si="9"/>
        <v>#DIV/0!</v>
      </c>
    </row>
    <row r="22" spans="5:35">
      <c r="E22" s="19" t="s">
        <v>24</v>
      </c>
      <c r="F22" s="108" cm="1">
        <f ca="1" t="array" ref="F22">INDIRECT("'"&amp;$B$2&amp;"'"&amp;"!"&amp;ADDRESS(ROW(R20),COLUMN(R20)))</f>
        <v>0</v>
      </c>
      <c r="G22" s="108" t="e" cm="1">
        <f ca="1" t="array" ref="G22">INDIRECT("'"&amp;$B$2&amp;"'"&amp;"!"&amp;ADDRESS(ROW(S20),COLUMN(S20)))</f>
        <v>#DIV/0!</v>
      </c>
      <c r="H22" s="108" t="e" cm="1">
        <f ca="1" t="array" ref="H22">INDIRECT("'"&amp;$B$2&amp;"'"&amp;"!"&amp;ADDRESS(ROW(T20),COLUMN(T20)))</f>
        <v>#DIV/0!</v>
      </c>
      <c r="I22" s="108" t="e" cm="1">
        <f ca="1" t="array" ref="I22">INDIRECT("'"&amp;$B$2&amp;"'"&amp;"!"&amp;ADDRESS(ROW(U20),COLUMN(U20)))</f>
        <v>#DIV/0!</v>
      </c>
      <c r="J22" s="108" t="e" cm="1">
        <f ca="1" t="array" ref="J22">INDIRECT("'"&amp;$B$2&amp;"'"&amp;"!"&amp;ADDRESS(ROW(V20),COLUMN(V20)))</f>
        <v>#DIV/0!</v>
      </c>
      <c r="K22" s="109" t="e">
        <f ca="1" t="shared" si="5"/>
        <v>#DIV/0!</v>
      </c>
      <c r="L22" s="108" cm="1">
        <f ca="1" t="array" ref="L22">INDIRECT("'"&amp;$B$3&amp;"'"&amp;"!"&amp;ADDRESS(ROW(R20),COLUMN(R20)))</f>
        <v>0</v>
      </c>
      <c r="M22" s="108" t="e" cm="1">
        <f ca="1" t="array" ref="M22">INDIRECT("'"&amp;$B$3&amp;"'"&amp;"!"&amp;ADDRESS(ROW(S20),COLUMN(S20)))</f>
        <v>#DIV/0!</v>
      </c>
      <c r="N22" s="108" t="e" cm="1">
        <f ca="1" t="array" ref="N22">INDIRECT("'"&amp;$B$3&amp;"'"&amp;"!"&amp;ADDRESS(ROW(T20),COLUMN(T20)))</f>
        <v>#DIV/0!</v>
      </c>
      <c r="O22" s="108" t="e" cm="1">
        <f ca="1" t="array" ref="O22">INDIRECT("'"&amp;$B$3&amp;"'"&amp;"!"&amp;ADDRESS(ROW(U20),COLUMN(U20)))</f>
        <v>#DIV/0!</v>
      </c>
      <c r="P22" s="108" t="e" cm="1">
        <f ca="1" t="array" ref="P22">INDIRECT("'"&amp;$B$3&amp;"'"&amp;"!"&amp;ADDRESS(ROW(V20),COLUMN(V20)))</f>
        <v>#DIV/0!</v>
      </c>
      <c r="Q22" s="109" t="e">
        <f ca="1" t="shared" si="6"/>
        <v>#DIV/0!</v>
      </c>
      <c r="R22" s="108" cm="1">
        <f ca="1" t="array" ref="R22">INDIRECT("'"&amp;$B$4&amp;"'"&amp;"!"&amp;ADDRESS(ROW(R20),COLUMN(R20)))</f>
        <v>0</v>
      </c>
      <c r="S22" s="108" t="e" cm="1">
        <f ca="1" t="array" ref="S22">INDIRECT("'"&amp;$B$4&amp;"'"&amp;"!"&amp;ADDRESS(ROW(S20),COLUMN(S20)))</f>
        <v>#DIV/0!</v>
      </c>
      <c r="T22" s="108" t="e" cm="1">
        <f ca="1" t="array" ref="T22">INDIRECT("'"&amp;$B$4&amp;"'"&amp;"!"&amp;ADDRESS(ROW(T20),COLUMN(T20)))</f>
        <v>#DIV/0!</v>
      </c>
      <c r="U22" s="108" t="e" cm="1">
        <f ca="1" t="array" ref="U22">INDIRECT("'"&amp;$B$4&amp;"'"&amp;"!"&amp;ADDRESS(ROW(U20),COLUMN(U20)))</f>
        <v>#DIV/0!</v>
      </c>
      <c r="V22" s="108" t="e" cm="1">
        <f ca="1" t="array" ref="V22">INDIRECT("'"&amp;$B$4&amp;"'"&amp;"!"&amp;ADDRESS(ROW(V20),COLUMN(V20)))</f>
        <v>#DIV/0!</v>
      </c>
      <c r="W22" s="109" t="e">
        <f ca="1" t="shared" si="7"/>
        <v>#DIV/0!</v>
      </c>
      <c r="X22" s="108" cm="1">
        <f ca="1" t="array" ref="X22">INDIRECT("'"&amp;$B$5&amp;"'"&amp;"!"&amp;ADDRESS(ROW(R20),COLUMN(R20)))</f>
        <v>0</v>
      </c>
      <c r="Y22" s="108" t="e" cm="1">
        <f ca="1" t="array" ref="Y22">INDIRECT("'"&amp;$B$5&amp;"'"&amp;"!"&amp;ADDRESS(ROW(S20),COLUMN(S20)))</f>
        <v>#DIV/0!</v>
      </c>
      <c r="Z22" s="108" t="e" cm="1">
        <f ca="1" t="array" ref="Z22">INDIRECT("'"&amp;$B$5&amp;"'"&amp;"!"&amp;ADDRESS(ROW(T20),COLUMN(T20)))</f>
        <v>#DIV/0!</v>
      </c>
      <c r="AA22" s="108" t="e" cm="1">
        <f ca="1" t="array" ref="AA22">INDIRECT("'"&amp;$B$5&amp;"'"&amp;"!"&amp;ADDRESS(ROW(U20),COLUMN(U20)))</f>
        <v>#DIV/0!</v>
      </c>
      <c r="AB22" s="108" t="e" cm="1">
        <f ca="1" t="array" ref="AB22">INDIRECT("'"&amp;$B$5&amp;"'"&amp;"!"&amp;ADDRESS(ROW(V20),COLUMN(V20)))</f>
        <v>#DIV/0!</v>
      </c>
      <c r="AC22" s="109" t="e">
        <f ca="1" t="shared" si="8"/>
        <v>#DIV/0!</v>
      </c>
      <c r="AD22" s="108" cm="1">
        <f ca="1" t="array" ref="AD22">INDIRECT("'"&amp;$B$6&amp;"'"&amp;"!"&amp;ADDRESS(ROW(R20),COLUMN(R20)))</f>
        <v>0</v>
      </c>
      <c r="AE22" s="108" t="e" cm="1">
        <f ca="1" t="array" ref="AE22">INDIRECT("'"&amp;$B$6&amp;"'"&amp;"!"&amp;ADDRESS(ROW(S20),COLUMN(S20)))</f>
        <v>#DIV/0!</v>
      </c>
      <c r="AF22" s="108" t="e" cm="1">
        <f ca="1" t="array" ref="AF22">INDIRECT("'"&amp;$B$6&amp;"'"&amp;"!"&amp;ADDRESS(ROW(T20),COLUMN(T20)))</f>
        <v>#DIV/0!</v>
      </c>
      <c r="AG22" s="108" t="e" cm="1">
        <f ca="1" t="array" ref="AG22">INDIRECT("'"&amp;$B$6&amp;"'"&amp;"!"&amp;ADDRESS(ROW(U20),COLUMN(U20)))</f>
        <v>#DIV/0!</v>
      </c>
      <c r="AH22" s="108" t="e" cm="1">
        <f ca="1" t="array" ref="AH22">INDIRECT("'"&amp;$B$6&amp;"'"&amp;"!"&amp;ADDRESS(ROW(V20),COLUMN(V20)))</f>
        <v>#DIV/0!</v>
      </c>
      <c r="AI22" s="109" t="e">
        <f ca="1" t="shared" si="9"/>
        <v>#DIV/0!</v>
      </c>
    </row>
    <row r="23" spans="5:35">
      <c r="E23" s="19" t="s">
        <v>25</v>
      </c>
      <c r="F23" s="108" cm="1">
        <f ca="1" t="array" ref="F23">INDIRECT("'"&amp;$B$2&amp;"'"&amp;"!"&amp;ADDRESS(ROW(R21),COLUMN(R21)))</f>
        <v>0</v>
      </c>
      <c r="G23" s="108" t="e" cm="1">
        <f ca="1" t="array" ref="G23">INDIRECT("'"&amp;$B$2&amp;"'"&amp;"!"&amp;ADDRESS(ROW(S21),COLUMN(S21)))</f>
        <v>#DIV/0!</v>
      </c>
      <c r="H23" s="108" t="e" cm="1">
        <f ca="1" t="array" ref="H23">INDIRECT("'"&amp;$B$2&amp;"'"&amp;"!"&amp;ADDRESS(ROW(T21),COLUMN(T21)))</f>
        <v>#DIV/0!</v>
      </c>
      <c r="I23" s="108" t="e" cm="1">
        <f ca="1" t="array" ref="I23">INDIRECT("'"&amp;$B$2&amp;"'"&amp;"!"&amp;ADDRESS(ROW(U21),COLUMN(U21)))</f>
        <v>#DIV/0!</v>
      </c>
      <c r="J23" s="108" t="e" cm="1">
        <f ca="1" t="array" ref="J23">INDIRECT("'"&amp;$B$2&amp;"'"&amp;"!"&amp;ADDRESS(ROW(V21),COLUMN(V21)))</f>
        <v>#DIV/0!</v>
      </c>
      <c r="K23" s="109" t="e">
        <f ca="1" t="shared" si="5"/>
        <v>#DIV/0!</v>
      </c>
      <c r="L23" s="108" cm="1">
        <f ca="1" t="array" ref="L23">INDIRECT("'"&amp;$B$3&amp;"'"&amp;"!"&amp;ADDRESS(ROW(R21),COLUMN(R21)))</f>
        <v>0</v>
      </c>
      <c r="M23" s="108" t="e" cm="1">
        <f ca="1" t="array" ref="M23">INDIRECT("'"&amp;$B$3&amp;"'"&amp;"!"&amp;ADDRESS(ROW(S21),COLUMN(S21)))</f>
        <v>#DIV/0!</v>
      </c>
      <c r="N23" s="108" t="e" cm="1">
        <f ca="1" t="array" ref="N23">INDIRECT("'"&amp;$B$3&amp;"'"&amp;"!"&amp;ADDRESS(ROW(T21),COLUMN(T21)))</f>
        <v>#DIV/0!</v>
      </c>
      <c r="O23" s="108" t="e" cm="1">
        <f ca="1" t="array" ref="O23">INDIRECT("'"&amp;$B$3&amp;"'"&amp;"!"&amp;ADDRESS(ROW(U21),COLUMN(U21)))</f>
        <v>#DIV/0!</v>
      </c>
      <c r="P23" s="108" t="e" cm="1">
        <f ca="1" t="array" ref="P23">INDIRECT("'"&amp;$B$3&amp;"'"&amp;"!"&amp;ADDRESS(ROW(V21),COLUMN(V21)))</f>
        <v>#DIV/0!</v>
      </c>
      <c r="Q23" s="109" t="e">
        <f ca="1" t="shared" si="6"/>
        <v>#DIV/0!</v>
      </c>
      <c r="R23" s="108" cm="1">
        <f ca="1" t="array" ref="R23">INDIRECT("'"&amp;$B$4&amp;"'"&amp;"!"&amp;ADDRESS(ROW(R21),COLUMN(R21)))</f>
        <v>0</v>
      </c>
      <c r="S23" s="108" t="e" cm="1">
        <f ca="1" t="array" ref="S23">INDIRECT("'"&amp;$B$4&amp;"'"&amp;"!"&amp;ADDRESS(ROW(S21),COLUMN(S21)))</f>
        <v>#DIV/0!</v>
      </c>
      <c r="T23" s="108" t="e" cm="1">
        <f ca="1" t="array" ref="T23">INDIRECT("'"&amp;$B$4&amp;"'"&amp;"!"&amp;ADDRESS(ROW(T21),COLUMN(T21)))</f>
        <v>#DIV/0!</v>
      </c>
      <c r="U23" s="108" t="e" cm="1">
        <f ca="1" t="array" ref="U23">INDIRECT("'"&amp;$B$4&amp;"'"&amp;"!"&amp;ADDRESS(ROW(U21),COLUMN(U21)))</f>
        <v>#DIV/0!</v>
      </c>
      <c r="V23" s="108" t="e" cm="1">
        <f ca="1" t="array" ref="V23">INDIRECT("'"&amp;$B$4&amp;"'"&amp;"!"&amp;ADDRESS(ROW(V21),COLUMN(V21)))</f>
        <v>#DIV/0!</v>
      </c>
      <c r="W23" s="109" t="e">
        <f ca="1" t="shared" si="7"/>
        <v>#DIV/0!</v>
      </c>
      <c r="X23" s="108" cm="1">
        <f ca="1" t="array" ref="X23">INDIRECT("'"&amp;$B$5&amp;"'"&amp;"!"&amp;ADDRESS(ROW(R21),COLUMN(R21)))</f>
        <v>0</v>
      </c>
      <c r="Y23" s="108" t="e" cm="1">
        <f ca="1" t="array" ref="Y23">INDIRECT("'"&amp;$B$5&amp;"'"&amp;"!"&amp;ADDRESS(ROW(S21),COLUMN(S21)))</f>
        <v>#DIV/0!</v>
      </c>
      <c r="Z23" s="108" t="e" cm="1">
        <f ca="1" t="array" ref="Z23">INDIRECT("'"&amp;$B$5&amp;"'"&amp;"!"&amp;ADDRESS(ROW(T21),COLUMN(T21)))</f>
        <v>#DIV/0!</v>
      </c>
      <c r="AA23" s="108" t="e" cm="1">
        <f ca="1" t="array" ref="AA23">INDIRECT("'"&amp;$B$5&amp;"'"&amp;"!"&amp;ADDRESS(ROW(U21),COLUMN(U21)))</f>
        <v>#DIV/0!</v>
      </c>
      <c r="AB23" s="108" t="e" cm="1">
        <f ca="1" t="array" ref="AB23">INDIRECT("'"&amp;$B$5&amp;"'"&amp;"!"&amp;ADDRESS(ROW(V21),COLUMN(V21)))</f>
        <v>#DIV/0!</v>
      </c>
      <c r="AC23" s="109" t="e">
        <f ca="1" t="shared" si="8"/>
        <v>#DIV/0!</v>
      </c>
      <c r="AD23" s="108" cm="1">
        <f ca="1" t="array" ref="AD23">INDIRECT("'"&amp;$B$6&amp;"'"&amp;"!"&amp;ADDRESS(ROW(R21),COLUMN(R21)))</f>
        <v>0</v>
      </c>
      <c r="AE23" s="108" t="e" cm="1">
        <f ca="1" t="array" ref="AE23">INDIRECT("'"&amp;$B$6&amp;"'"&amp;"!"&amp;ADDRESS(ROW(S21),COLUMN(S21)))</f>
        <v>#DIV/0!</v>
      </c>
      <c r="AF23" s="108" t="e" cm="1">
        <f ca="1" t="array" ref="AF23">INDIRECT("'"&amp;$B$6&amp;"'"&amp;"!"&amp;ADDRESS(ROW(T21),COLUMN(T21)))</f>
        <v>#DIV/0!</v>
      </c>
      <c r="AG23" s="108" t="e" cm="1">
        <f ca="1" t="array" ref="AG23">INDIRECT("'"&amp;$B$6&amp;"'"&amp;"!"&amp;ADDRESS(ROW(U21),COLUMN(U21)))</f>
        <v>#DIV/0!</v>
      </c>
      <c r="AH23" s="108" t="e" cm="1">
        <f ca="1" t="array" ref="AH23">INDIRECT("'"&amp;$B$6&amp;"'"&amp;"!"&amp;ADDRESS(ROW(V21),COLUMN(V21)))</f>
        <v>#DIV/0!</v>
      </c>
      <c r="AI23" s="109" t="e">
        <f ca="1" t="shared" si="9"/>
        <v>#DIV/0!</v>
      </c>
    </row>
    <row r="24" spans="5:35">
      <c r="E24" s="19" t="s">
        <v>26</v>
      </c>
      <c r="F24" s="108" cm="1">
        <f ca="1" t="array" ref="F24">INDIRECT("'"&amp;$B$2&amp;"'"&amp;"!"&amp;ADDRESS(ROW(R22),COLUMN(R22)))</f>
        <v>0</v>
      </c>
      <c r="G24" s="108" t="e" cm="1">
        <f ca="1" t="array" ref="G24">INDIRECT("'"&amp;$B$2&amp;"'"&amp;"!"&amp;ADDRESS(ROW(S22),COLUMN(S22)))</f>
        <v>#DIV/0!</v>
      </c>
      <c r="H24" s="108" t="e" cm="1">
        <f ca="1" t="array" ref="H24">INDIRECT("'"&amp;$B$2&amp;"'"&amp;"!"&amp;ADDRESS(ROW(T22),COLUMN(T22)))</f>
        <v>#DIV/0!</v>
      </c>
      <c r="I24" s="108" t="e" cm="1">
        <f ca="1" t="array" ref="I24">INDIRECT("'"&amp;$B$2&amp;"'"&amp;"!"&amp;ADDRESS(ROW(U22),COLUMN(U22)))</f>
        <v>#DIV/0!</v>
      </c>
      <c r="J24" s="108" t="e" cm="1">
        <f ca="1" t="array" ref="J24">INDIRECT("'"&amp;$B$2&amp;"'"&amp;"!"&amp;ADDRESS(ROW(V22),COLUMN(V22)))</f>
        <v>#DIV/0!</v>
      </c>
      <c r="K24" s="109" t="e">
        <f ca="1" t="shared" si="5"/>
        <v>#DIV/0!</v>
      </c>
      <c r="L24" s="108" cm="1">
        <f ca="1" t="array" ref="L24">INDIRECT("'"&amp;$B$3&amp;"'"&amp;"!"&amp;ADDRESS(ROW(R22),COLUMN(R22)))</f>
        <v>0</v>
      </c>
      <c r="M24" s="108" t="e" cm="1">
        <f ca="1" t="array" ref="M24">INDIRECT("'"&amp;$B$3&amp;"'"&amp;"!"&amp;ADDRESS(ROW(S22),COLUMN(S22)))</f>
        <v>#DIV/0!</v>
      </c>
      <c r="N24" s="108" t="e" cm="1">
        <f ca="1" t="array" ref="N24">INDIRECT("'"&amp;$B$3&amp;"'"&amp;"!"&amp;ADDRESS(ROW(T22),COLUMN(T22)))</f>
        <v>#DIV/0!</v>
      </c>
      <c r="O24" s="108" t="e" cm="1">
        <f ca="1" t="array" ref="O24">INDIRECT("'"&amp;$B$3&amp;"'"&amp;"!"&amp;ADDRESS(ROW(U22),COLUMN(U22)))</f>
        <v>#DIV/0!</v>
      </c>
      <c r="P24" s="108" t="e" cm="1">
        <f ca="1" t="array" ref="P24">INDIRECT("'"&amp;$B$3&amp;"'"&amp;"!"&amp;ADDRESS(ROW(V22),COLUMN(V22)))</f>
        <v>#DIV/0!</v>
      </c>
      <c r="Q24" s="109" t="e">
        <f ca="1" t="shared" si="6"/>
        <v>#DIV/0!</v>
      </c>
      <c r="R24" s="108" cm="1">
        <f ca="1" t="array" ref="R24">INDIRECT("'"&amp;$B$4&amp;"'"&amp;"!"&amp;ADDRESS(ROW(R22),COLUMN(R22)))</f>
        <v>0</v>
      </c>
      <c r="S24" s="108" t="e" cm="1">
        <f ca="1" t="array" ref="S24">INDIRECT("'"&amp;$B$4&amp;"'"&amp;"!"&amp;ADDRESS(ROW(S22),COLUMN(S22)))</f>
        <v>#DIV/0!</v>
      </c>
      <c r="T24" s="108" t="e" cm="1">
        <f ca="1" t="array" ref="T24">INDIRECT("'"&amp;$B$4&amp;"'"&amp;"!"&amp;ADDRESS(ROW(T22),COLUMN(T22)))</f>
        <v>#DIV/0!</v>
      </c>
      <c r="U24" s="108" t="e" cm="1">
        <f ca="1" t="array" ref="U24">INDIRECT("'"&amp;$B$4&amp;"'"&amp;"!"&amp;ADDRESS(ROW(U22),COLUMN(U22)))</f>
        <v>#DIV/0!</v>
      </c>
      <c r="V24" s="108" t="e" cm="1">
        <f ca="1" t="array" ref="V24">INDIRECT("'"&amp;$B$4&amp;"'"&amp;"!"&amp;ADDRESS(ROW(V22),COLUMN(V22)))</f>
        <v>#DIV/0!</v>
      </c>
      <c r="W24" s="109" t="e">
        <f ca="1" t="shared" si="7"/>
        <v>#DIV/0!</v>
      </c>
      <c r="X24" s="108" cm="1">
        <f ca="1" t="array" ref="X24">INDIRECT("'"&amp;$B$5&amp;"'"&amp;"!"&amp;ADDRESS(ROW(R22),COLUMN(R22)))</f>
        <v>0</v>
      </c>
      <c r="Y24" s="108" t="e" cm="1">
        <f ca="1" t="array" ref="Y24">INDIRECT("'"&amp;$B$5&amp;"'"&amp;"!"&amp;ADDRESS(ROW(S22),COLUMN(S22)))</f>
        <v>#DIV/0!</v>
      </c>
      <c r="Z24" s="108" t="e" cm="1">
        <f ca="1" t="array" ref="Z24">INDIRECT("'"&amp;$B$5&amp;"'"&amp;"!"&amp;ADDRESS(ROW(T22),COLUMN(T22)))</f>
        <v>#DIV/0!</v>
      </c>
      <c r="AA24" s="108" t="e" cm="1">
        <f ca="1" t="array" ref="AA24">INDIRECT("'"&amp;$B$5&amp;"'"&amp;"!"&amp;ADDRESS(ROW(U22),COLUMN(U22)))</f>
        <v>#DIV/0!</v>
      </c>
      <c r="AB24" s="108" t="e" cm="1">
        <f ca="1" t="array" ref="AB24">INDIRECT("'"&amp;$B$5&amp;"'"&amp;"!"&amp;ADDRESS(ROW(V22),COLUMN(V22)))</f>
        <v>#DIV/0!</v>
      </c>
      <c r="AC24" s="109" t="e">
        <f ca="1" t="shared" si="8"/>
        <v>#DIV/0!</v>
      </c>
      <c r="AD24" s="108" cm="1">
        <f ca="1" t="array" ref="AD24">INDIRECT("'"&amp;$B$6&amp;"'"&amp;"!"&amp;ADDRESS(ROW(R22),COLUMN(R22)))</f>
        <v>0</v>
      </c>
      <c r="AE24" s="108" t="e" cm="1">
        <f ca="1" t="array" ref="AE24">INDIRECT("'"&amp;$B$6&amp;"'"&amp;"!"&amp;ADDRESS(ROW(S22),COLUMN(S22)))</f>
        <v>#DIV/0!</v>
      </c>
      <c r="AF24" s="108" t="e" cm="1">
        <f ca="1" t="array" ref="AF24">INDIRECT("'"&amp;$B$6&amp;"'"&amp;"!"&amp;ADDRESS(ROW(T22),COLUMN(T22)))</f>
        <v>#DIV/0!</v>
      </c>
      <c r="AG24" s="108" t="e" cm="1">
        <f ca="1" t="array" ref="AG24">INDIRECT("'"&amp;$B$6&amp;"'"&amp;"!"&amp;ADDRESS(ROW(U22),COLUMN(U22)))</f>
        <v>#DIV/0!</v>
      </c>
      <c r="AH24" s="108" t="e" cm="1">
        <f ca="1" t="array" ref="AH24">INDIRECT("'"&amp;$B$6&amp;"'"&amp;"!"&amp;ADDRESS(ROW(V22),COLUMN(V22)))</f>
        <v>#DIV/0!</v>
      </c>
      <c r="AI24" s="109" t="e">
        <f ca="1" t="shared" si="9"/>
        <v>#DIV/0!</v>
      </c>
    </row>
    <row r="25" spans="5:35">
      <c r="E25" s="19" t="s">
        <v>27</v>
      </c>
      <c r="F25" s="108" cm="1">
        <f ca="1" t="array" ref="F25">INDIRECT("'"&amp;$B$2&amp;"'"&amp;"!"&amp;ADDRESS(ROW(R23),COLUMN(R23)))</f>
        <v>0</v>
      </c>
      <c r="G25" s="108" t="e" cm="1">
        <f ca="1" t="array" ref="G25">INDIRECT("'"&amp;$B$2&amp;"'"&amp;"!"&amp;ADDRESS(ROW(S23),COLUMN(S23)))</f>
        <v>#DIV/0!</v>
      </c>
      <c r="H25" s="108" t="e" cm="1">
        <f ca="1" t="array" ref="H25">INDIRECT("'"&amp;$B$2&amp;"'"&amp;"!"&amp;ADDRESS(ROW(T23),COLUMN(T23)))</f>
        <v>#DIV/0!</v>
      </c>
      <c r="I25" s="108" t="e" cm="1">
        <f ca="1" t="array" ref="I25">INDIRECT("'"&amp;$B$2&amp;"'"&amp;"!"&amp;ADDRESS(ROW(U23),COLUMN(U23)))</f>
        <v>#DIV/0!</v>
      </c>
      <c r="J25" s="108" t="e" cm="1">
        <f ca="1" t="array" ref="J25">INDIRECT("'"&amp;$B$2&amp;"'"&amp;"!"&amp;ADDRESS(ROW(V23),COLUMN(V23)))</f>
        <v>#DIV/0!</v>
      </c>
      <c r="K25" s="109" t="e">
        <f ca="1" t="shared" si="5"/>
        <v>#DIV/0!</v>
      </c>
      <c r="L25" s="108" cm="1">
        <f ca="1" t="array" ref="L25">INDIRECT("'"&amp;$B$3&amp;"'"&amp;"!"&amp;ADDRESS(ROW(R23),COLUMN(R23)))</f>
        <v>0</v>
      </c>
      <c r="M25" s="108" t="e" cm="1">
        <f ca="1" t="array" ref="M25">INDIRECT("'"&amp;$B$3&amp;"'"&amp;"!"&amp;ADDRESS(ROW(S23),COLUMN(S23)))</f>
        <v>#DIV/0!</v>
      </c>
      <c r="N25" s="108" t="e" cm="1">
        <f ca="1" t="array" ref="N25">INDIRECT("'"&amp;$B$3&amp;"'"&amp;"!"&amp;ADDRESS(ROW(T23),COLUMN(T23)))</f>
        <v>#DIV/0!</v>
      </c>
      <c r="O25" s="108" t="e" cm="1">
        <f ca="1" t="array" ref="O25">INDIRECT("'"&amp;$B$3&amp;"'"&amp;"!"&amp;ADDRESS(ROW(U23),COLUMN(U23)))</f>
        <v>#DIV/0!</v>
      </c>
      <c r="P25" s="108" t="e" cm="1">
        <f ca="1" t="array" ref="P25">INDIRECT("'"&amp;$B$3&amp;"'"&amp;"!"&amp;ADDRESS(ROW(V23),COLUMN(V23)))</f>
        <v>#DIV/0!</v>
      </c>
      <c r="Q25" s="109" t="e">
        <f ca="1" t="shared" si="6"/>
        <v>#DIV/0!</v>
      </c>
      <c r="R25" s="108" cm="1">
        <f ca="1" t="array" ref="R25">INDIRECT("'"&amp;$B$4&amp;"'"&amp;"!"&amp;ADDRESS(ROW(R23),COLUMN(R23)))</f>
        <v>0</v>
      </c>
      <c r="S25" s="108" t="e" cm="1">
        <f ca="1" t="array" ref="S25">INDIRECT("'"&amp;$B$4&amp;"'"&amp;"!"&amp;ADDRESS(ROW(S23),COLUMN(S23)))</f>
        <v>#DIV/0!</v>
      </c>
      <c r="T25" s="108" t="e" cm="1">
        <f ca="1" t="array" ref="T25">INDIRECT("'"&amp;$B$4&amp;"'"&amp;"!"&amp;ADDRESS(ROW(T23),COLUMN(T23)))</f>
        <v>#DIV/0!</v>
      </c>
      <c r="U25" s="108" t="e" cm="1">
        <f ca="1" t="array" ref="U25">INDIRECT("'"&amp;$B$4&amp;"'"&amp;"!"&amp;ADDRESS(ROW(U23),COLUMN(U23)))</f>
        <v>#DIV/0!</v>
      </c>
      <c r="V25" s="108" t="e" cm="1">
        <f ca="1" t="array" ref="V25">INDIRECT("'"&amp;$B$4&amp;"'"&amp;"!"&amp;ADDRESS(ROW(V23),COLUMN(V23)))</f>
        <v>#DIV/0!</v>
      </c>
      <c r="W25" s="109" t="e">
        <f ca="1" t="shared" si="7"/>
        <v>#DIV/0!</v>
      </c>
      <c r="X25" s="108" cm="1">
        <f ca="1" t="array" ref="X25">INDIRECT("'"&amp;$B$5&amp;"'"&amp;"!"&amp;ADDRESS(ROW(R23),COLUMN(R23)))</f>
        <v>0</v>
      </c>
      <c r="Y25" s="108" t="e" cm="1">
        <f ca="1" t="array" ref="Y25">INDIRECT("'"&amp;$B$5&amp;"'"&amp;"!"&amp;ADDRESS(ROW(S23),COLUMN(S23)))</f>
        <v>#DIV/0!</v>
      </c>
      <c r="Z25" s="108" t="e" cm="1">
        <f ca="1" t="array" ref="Z25">INDIRECT("'"&amp;$B$5&amp;"'"&amp;"!"&amp;ADDRESS(ROW(T23),COLUMN(T23)))</f>
        <v>#DIV/0!</v>
      </c>
      <c r="AA25" s="108" t="e" cm="1">
        <f ca="1" t="array" ref="AA25">INDIRECT("'"&amp;$B$5&amp;"'"&amp;"!"&amp;ADDRESS(ROW(U23),COLUMN(U23)))</f>
        <v>#DIV/0!</v>
      </c>
      <c r="AB25" s="108" t="e" cm="1">
        <f ca="1" t="array" ref="AB25">INDIRECT("'"&amp;$B$5&amp;"'"&amp;"!"&amp;ADDRESS(ROW(V23),COLUMN(V23)))</f>
        <v>#DIV/0!</v>
      </c>
      <c r="AC25" s="109" t="e">
        <f ca="1" t="shared" si="8"/>
        <v>#DIV/0!</v>
      </c>
      <c r="AD25" s="108" cm="1">
        <f ca="1" t="array" ref="AD25">INDIRECT("'"&amp;$B$6&amp;"'"&amp;"!"&amp;ADDRESS(ROW(R23),COLUMN(R23)))</f>
        <v>0</v>
      </c>
      <c r="AE25" s="108" t="e" cm="1">
        <f ca="1" t="array" ref="AE25">INDIRECT("'"&amp;$B$6&amp;"'"&amp;"!"&amp;ADDRESS(ROW(S23),COLUMN(S23)))</f>
        <v>#DIV/0!</v>
      </c>
      <c r="AF25" s="108" t="e" cm="1">
        <f ca="1" t="array" ref="AF25">INDIRECT("'"&amp;$B$6&amp;"'"&amp;"!"&amp;ADDRESS(ROW(T23),COLUMN(T23)))</f>
        <v>#DIV/0!</v>
      </c>
      <c r="AG25" s="108" t="e" cm="1">
        <f ca="1" t="array" ref="AG25">INDIRECT("'"&amp;$B$6&amp;"'"&amp;"!"&amp;ADDRESS(ROW(U23),COLUMN(U23)))</f>
        <v>#DIV/0!</v>
      </c>
      <c r="AH25" s="108" t="e" cm="1">
        <f ca="1" t="array" ref="AH25">INDIRECT("'"&amp;$B$6&amp;"'"&amp;"!"&amp;ADDRESS(ROW(V23),COLUMN(V23)))</f>
        <v>#DIV/0!</v>
      </c>
      <c r="AI25" s="109" t="e">
        <f ca="1" t="shared" si="9"/>
        <v>#DIV/0!</v>
      </c>
    </row>
    <row r="26" spans="5:35">
      <c r="E26" s="19" t="s">
        <v>28</v>
      </c>
      <c r="F26" s="108" cm="1">
        <f ca="1" t="array" ref="F26">INDIRECT("'"&amp;$B$2&amp;"'"&amp;"!"&amp;ADDRESS(ROW(R24),COLUMN(R24)))</f>
        <v>0</v>
      </c>
      <c r="G26" s="108" t="e" cm="1">
        <f ca="1" t="array" ref="G26">INDIRECT("'"&amp;$B$2&amp;"'"&amp;"!"&amp;ADDRESS(ROW(S24),COLUMN(S24)))</f>
        <v>#DIV/0!</v>
      </c>
      <c r="H26" s="108" t="e" cm="1">
        <f ca="1" t="array" ref="H26">INDIRECT("'"&amp;$B$2&amp;"'"&amp;"!"&amp;ADDRESS(ROW(T24),COLUMN(T24)))</f>
        <v>#DIV/0!</v>
      </c>
      <c r="I26" s="108" t="e" cm="1">
        <f ca="1" t="array" ref="I26">INDIRECT("'"&amp;$B$2&amp;"'"&amp;"!"&amp;ADDRESS(ROW(U24),COLUMN(U24)))</f>
        <v>#DIV/0!</v>
      </c>
      <c r="J26" s="108" t="e" cm="1">
        <f ca="1" t="array" ref="J26">INDIRECT("'"&amp;$B$2&amp;"'"&amp;"!"&amp;ADDRESS(ROW(V24),COLUMN(V24)))</f>
        <v>#DIV/0!</v>
      </c>
      <c r="K26" s="109" t="e">
        <f ca="1" t="shared" si="5"/>
        <v>#DIV/0!</v>
      </c>
      <c r="L26" s="108" cm="1">
        <f ca="1" t="array" ref="L26">INDIRECT("'"&amp;$B$3&amp;"'"&amp;"!"&amp;ADDRESS(ROW(R24),COLUMN(R24)))</f>
        <v>0</v>
      </c>
      <c r="M26" s="108" t="e" cm="1">
        <f ca="1" t="array" ref="M26">INDIRECT("'"&amp;$B$3&amp;"'"&amp;"!"&amp;ADDRESS(ROW(S24),COLUMN(S24)))</f>
        <v>#DIV/0!</v>
      </c>
      <c r="N26" s="108" t="e" cm="1">
        <f ca="1" t="array" ref="N26">INDIRECT("'"&amp;$B$3&amp;"'"&amp;"!"&amp;ADDRESS(ROW(T24),COLUMN(T24)))</f>
        <v>#DIV/0!</v>
      </c>
      <c r="O26" s="108" t="e" cm="1">
        <f ca="1" t="array" ref="O26">INDIRECT("'"&amp;$B$3&amp;"'"&amp;"!"&amp;ADDRESS(ROW(U24),COLUMN(U24)))</f>
        <v>#DIV/0!</v>
      </c>
      <c r="P26" s="108" t="e" cm="1">
        <f ca="1" t="array" ref="P26">INDIRECT("'"&amp;$B$3&amp;"'"&amp;"!"&amp;ADDRESS(ROW(V24),COLUMN(V24)))</f>
        <v>#DIV/0!</v>
      </c>
      <c r="Q26" s="109" t="e">
        <f ca="1" t="shared" si="6"/>
        <v>#DIV/0!</v>
      </c>
      <c r="R26" s="108" cm="1">
        <f ca="1" t="array" ref="R26">INDIRECT("'"&amp;$B$4&amp;"'"&amp;"!"&amp;ADDRESS(ROW(R24),COLUMN(R24)))</f>
        <v>0</v>
      </c>
      <c r="S26" s="108" t="e" cm="1">
        <f ca="1" t="array" ref="S26">INDIRECT("'"&amp;$B$4&amp;"'"&amp;"!"&amp;ADDRESS(ROW(S24),COLUMN(S24)))</f>
        <v>#DIV/0!</v>
      </c>
      <c r="T26" s="108" t="e" cm="1">
        <f ca="1" t="array" ref="T26">INDIRECT("'"&amp;$B$4&amp;"'"&amp;"!"&amp;ADDRESS(ROW(T24),COLUMN(T24)))</f>
        <v>#DIV/0!</v>
      </c>
      <c r="U26" s="108" t="e" cm="1">
        <f ca="1" t="array" ref="U26">INDIRECT("'"&amp;$B$4&amp;"'"&amp;"!"&amp;ADDRESS(ROW(U24),COLUMN(U24)))</f>
        <v>#DIV/0!</v>
      </c>
      <c r="V26" s="108" t="e" cm="1">
        <f ca="1" t="array" ref="V26">INDIRECT("'"&amp;$B$4&amp;"'"&amp;"!"&amp;ADDRESS(ROW(V24),COLUMN(V24)))</f>
        <v>#DIV/0!</v>
      </c>
      <c r="W26" s="109" t="e">
        <f ca="1" t="shared" si="7"/>
        <v>#DIV/0!</v>
      </c>
      <c r="X26" s="108" cm="1">
        <f ca="1" t="array" ref="X26">INDIRECT("'"&amp;$B$5&amp;"'"&amp;"!"&amp;ADDRESS(ROW(R24),COLUMN(R24)))</f>
        <v>0</v>
      </c>
      <c r="Y26" s="108" t="e" cm="1">
        <f ca="1" t="array" ref="Y26">INDIRECT("'"&amp;$B$5&amp;"'"&amp;"!"&amp;ADDRESS(ROW(S24),COLUMN(S24)))</f>
        <v>#DIV/0!</v>
      </c>
      <c r="Z26" s="108" t="e" cm="1">
        <f ca="1" t="array" ref="Z26">INDIRECT("'"&amp;$B$5&amp;"'"&amp;"!"&amp;ADDRESS(ROW(T24),COLUMN(T24)))</f>
        <v>#DIV/0!</v>
      </c>
      <c r="AA26" s="108" t="e" cm="1">
        <f ca="1" t="array" ref="AA26">INDIRECT("'"&amp;$B$5&amp;"'"&amp;"!"&amp;ADDRESS(ROW(U24),COLUMN(U24)))</f>
        <v>#DIV/0!</v>
      </c>
      <c r="AB26" s="108" t="e" cm="1">
        <f ca="1" t="array" ref="AB26">INDIRECT("'"&amp;$B$5&amp;"'"&amp;"!"&amp;ADDRESS(ROW(V24),COLUMN(V24)))</f>
        <v>#DIV/0!</v>
      </c>
      <c r="AC26" s="109" t="e">
        <f ca="1" t="shared" si="8"/>
        <v>#DIV/0!</v>
      </c>
      <c r="AD26" s="108" cm="1">
        <f ca="1" t="array" ref="AD26">INDIRECT("'"&amp;$B$6&amp;"'"&amp;"!"&amp;ADDRESS(ROW(R24),COLUMN(R24)))</f>
        <v>0</v>
      </c>
      <c r="AE26" s="108" t="e" cm="1">
        <f ca="1" t="array" ref="AE26">INDIRECT("'"&amp;$B$6&amp;"'"&amp;"!"&amp;ADDRESS(ROW(S24),COLUMN(S24)))</f>
        <v>#DIV/0!</v>
      </c>
      <c r="AF26" s="108" t="e" cm="1">
        <f ca="1" t="array" ref="AF26">INDIRECT("'"&amp;$B$6&amp;"'"&amp;"!"&amp;ADDRESS(ROW(T24),COLUMN(T24)))</f>
        <v>#DIV/0!</v>
      </c>
      <c r="AG26" s="108" t="e" cm="1">
        <f ca="1" t="array" ref="AG26">INDIRECT("'"&amp;$B$6&amp;"'"&amp;"!"&amp;ADDRESS(ROW(U24),COLUMN(U24)))</f>
        <v>#DIV/0!</v>
      </c>
      <c r="AH26" s="108" t="e" cm="1">
        <f ca="1" t="array" ref="AH26">INDIRECT("'"&amp;$B$6&amp;"'"&amp;"!"&amp;ADDRESS(ROW(V24),COLUMN(V24)))</f>
        <v>#DIV/0!</v>
      </c>
      <c r="AI26" s="109" t="e">
        <f ca="1" t="shared" si="9"/>
        <v>#DIV/0!</v>
      </c>
    </row>
    <row r="27" spans="5:35">
      <c r="E27" s="19" t="s">
        <v>29</v>
      </c>
      <c r="F27" s="108" cm="1">
        <f ca="1" t="array" ref="F27">INDIRECT("'"&amp;$B$2&amp;"'"&amp;"!"&amp;ADDRESS(ROW(R25),COLUMN(R25)))</f>
        <v>0</v>
      </c>
      <c r="G27" s="108" t="e" cm="1">
        <f ca="1" t="array" ref="G27">INDIRECT("'"&amp;$B$2&amp;"'"&amp;"!"&amp;ADDRESS(ROW(S25),COLUMN(S25)))</f>
        <v>#DIV/0!</v>
      </c>
      <c r="H27" s="108" t="e" cm="1">
        <f ca="1" t="array" ref="H27">INDIRECT("'"&amp;$B$2&amp;"'"&amp;"!"&amp;ADDRESS(ROW(T25),COLUMN(T25)))</f>
        <v>#DIV/0!</v>
      </c>
      <c r="I27" s="108" t="e" cm="1">
        <f ca="1" t="array" ref="I27">INDIRECT("'"&amp;$B$2&amp;"'"&amp;"!"&amp;ADDRESS(ROW(U25),COLUMN(U25)))</f>
        <v>#DIV/0!</v>
      </c>
      <c r="J27" s="108" t="e" cm="1">
        <f ca="1" t="array" ref="J27">INDIRECT("'"&amp;$B$2&amp;"'"&amp;"!"&amp;ADDRESS(ROW(V25),COLUMN(V25)))</f>
        <v>#DIV/0!</v>
      </c>
      <c r="K27" s="109" t="e">
        <f ca="1" t="shared" si="5"/>
        <v>#DIV/0!</v>
      </c>
      <c r="L27" s="108" cm="1">
        <f ca="1" t="array" ref="L27">INDIRECT("'"&amp;$B$3&amp;"'"&amp;"!"&amp;ADDRESS(ROW(R25),COLUMN(R25)))</f>
        <v>0</v>
      </c>
      <c r="M27" s="108" t="e" cm="1">
        <f ca="1" t="array" ref="M27">INDIRECT("'"&amp;$B$3&amp;"'"&amp;"!"&amp;ADDRESS(ROW(S25),COLUMN(S25)))</f>
        <v>#DIV/0!</v>
      </c>
      <c r="N27" s="108" t="e" cm="1">
        <f ca="1" t="array" ref="N27">INDIRECT("'"&amp;$B$3&amp;"'"&amp;"!"&amp;ADDRESS(ROW(T25),COLUMN(T25)))</f>
        <v>#DIV/0!</v>
      </c>
      <c r="O27" s="108" t="e" cm="1">
        <f ca="1" t="array" ref="O27">INDIRECT("'"&amp;$B$3&amp;"'"&amp;"!"&amp;ADDRESS(ROW(U25),COLUMN(U25)))</f>
        <v>#DIV/0!</v>
      </c>
      <c r="P27" s="108" t="e" cm="1">
        <f ca="1" t="array" ref="P27">INDIRECT("'"&amp;$B$3&amp;"'"&amp;"!"&amp;ADDRESS(ROW(V25),COLUMN(V25)))</f>
        <v>#DIV/0!</v>
      </c>
      <c r="Q27" s="109" t="e">
        <f ca="1" t="shared" si="6"/>
        <v>#DIV/0!</v>
      </c>
      <c r="R27" s="108" cm="1">
        <f ca="1" t="array" ref="R27">INDIRECT("'"&amp;$B$4&amp;"'"&amp;"!"&amp;ADDRESS(ROW(R25),COLUMN(R25)))</f>
        <v>0</v>
      </c>
      <c r="S27" s="108" t="e" cm="1">
        <f ca="1" t="array" ref="S27">INDIRECT("'"&amp;$B$4&amp;"'"&amp;"!"&amp;ADDRESS(ROW(S25),COLUMN(S25)))</f>
        <v>#DIV/0!</v>
      </c>
      <c r="T27" s="108" t="e" cm="1">
        <f ca="1" t="array" ref="T27">INDIRECT("'"&amp;$B$4&amp;"'"&amp;"!"&amp;ADDRESS(ROW(T25),COLUMN(T25)))</f>
        <v>#DIV/0!</v>
      </c>
      <c r="U27" s="108" t="e" cm="1">
        <f ca="1" t="array" ref="U27">INDIRECT("'"&amp;$B$4&amp;"'"&amp;"!"&amp;ADDRESS(ROW(U25),COLUMN(U25)))</f>
        <v>#DIV/0!</v>
      </c>
      <c r="V27" s="108" t="e" cm="1">
        <f ca="1" t="array" ref="V27">INDIRECT("'"&amp;$B$4&amp;"'"&amp;"!"&amp;ADDRESS(ROW(V25),COLUMN(V25)))</f>
        <v>#DIV/0!</v>
      </c>
      <c r="W27" s="109" t="e">
        <f ca="1" t="shared" si="7"/>
        <v>#DIV/0!</v>
      </c>
      <c r="X27" s="108" cm="1">
        <f ca="1" t="array" ref="X27">INDIRECT("'"&amp;$B$5&amp;"'"&amp;"!"&amp;ADDRESS(ROW(R25),COLUMN(R25)))</f>
        <v>0</v>
      </c>
      <c r="Y27" s="108" t="e" cm="1">
        <f ca="1" t="array" ref="Y27">INDIRECT("'"&amp;$B$5&amp;"'"&amp;"!"&amp;ADDRESS(ROW(S25),COLUMN(S25)))</f>
        <v>#DIV/0!</v>
      </c>
      <c r="Z27" s="108" t="e" cm="1">
        <f ca="1" t="array" ref="Z27">INDIRECT("'"&amp;$B$5&amp;"'"&amp;"!"&amp;ADDRESS(ROW(T25),COLUMN(T25)))</f>
        <v>#DIV/0!</v>
      </c>
      <c r="AA27" s="108" t="e" cm="1">
        <f ca="1" t="array" ref="AA27">INDIRECT("'"&amp;$B$5&amp;"'"&amp;"!"&amp;ADDRESS(ROW(U25),COLUMN(U25)))</f>
        <v>#DIV/0!</v>
      </c>
      <c r="AB27" s="108" t="e" cm="1">
        <f ca="1" t="array" ref="AB27">INDIRECT("'"&amp;$B$5&amp;"'"&amp;"!"&amp;ADDRESS(ROW(V25),COLUMN(V25)))</f>
        <v>#DIV/0!</v>
      </c>
      <c r="AC27" s="109" t="e">
        <f ca="1" t="shared" si="8"/>
        <v>#DIV/0!</v>
      </c>
      <c r="AD27" s="108" cm="1">
        <f ca="1" t="array" ref="AD27">INDIRECT("'"&amp;$B$6&amp;"'"&amp;"!"&amp;ADDRESS(ROW(R25),COLUMN(R25)))</f>
        <v>0</v>
      </c>
      <c r="AE27" s="108" t="e" cm="1">
        <f ca="1" t="array" ref="AE27">INDIRECT("'"&amp;$B$6&amp;"'"&amp;"!"&amp;ADDRESS(ROW(S25),COLUMN(S25)))</f>
        <v>#DIV/0!</v>
      </c>
      <c r="AF27" s="108" t="e" cm="1">
        <f ca="1" t="array" ref="AF27">INDIRECT("'"&amp;$B$6&amp;"'"&amp;"!"&amp;ADDRESS(ROW(T25),COLUMN(T25)))</f>
        <v>#DIV/0!</v>
      </c>
      <c r="AG27" s="108" t="e" cm="1">
        <f ca="1" t="array" ref="AG27">INDIRECT("'"&amp;$B$6&amp;"'"&amp;"!"&amp;ADDRESS(ROW(U25),COLUMN(U25)))</f>
        <v>#DIV/0!</v>
      </c>
      <c r="AH27" s="108" t="e" cm="1">
        <f ca="1" t="array" ref="AH27">INDIRECT("'"&amp;$B$6&amp;"'"&amp;"!"&amp;ADDRESS(ROW(V25),COLUMN(V25)))</f>
        <v>#DIV/0!</v>
      </c>
      <c r="AI27" s="109" t="e">
        <f ca="1" t="shared" si="9"/>
        <v>#DIV/0!</v>
      </c>
    </row>
    <row r="28" spans="5:35">
      <c r="E28" s="19" t="s">
        <v>30</v>
      </c>
      <c r="F28" s="108" cm="1">
        <f ca="1" t="array" ref="F28">INDIRECT("'"&amp;$B$2&amp;"'"&amp;"!"&amp;ADDRESS(ROW(R26),COLUMN(R26)))</f>
        <v>0</v>
      </c>
      <c r="G28" s="108" t="e" cm="1">
        <f ca="1" t="array" ref="G28">INDIRECT("'"&amp;$B$2&amp;"'"&amp;"!"&amp;ADDRESS(ROW(S26),COLUMN(S26)))</f>
        <v>#DIV/0!</v>
      </c>
      <c r="H28" s="108" t="e" cm="1">
        <f ca="1" t="array" ref="H28">INDIRECT("'"&amp;$B$2&amp;"'"&amp;"!"&amp;ADDRESS(ROW(T26),COLUMN(T26)))</f>
        <v>#DIV/0!</v>
      </c>
      <c r="I28" s="108" t="e" cm="1">
        <f ca="1" t="array" ref="I28">INDIRECT("'"&amp;$B$2&amp;"'"&amp;"!"&amp;ADDRESS(ROW(U26),COLUMN(U26)))</f>
        <v>#DIV/0!</v>
      </c>
      <c r="J28" s="108" t="e" cm="1">
        <f ca="1" t="array" ref="J28">INDIRECT("'"&amp;$B$2&amp;"'"&amp;"!"&amp;ADDRESS(ROW(V26),COLUMN(V26)))</f>
        <v>#DIV/0!</v>
      </c>
      <c r="K28" s="109" t="e">
        <f ca="1" t="shared" si="5"/>
        <v>#DIV/0!</v>
      </c>
      <c r="L28" s="108" cm="1">
        <f ca="1" t="array" ref="L28">INDIRECT("'"&amp;$B$3&amp;"'"&amp;"!"&amp;ADDRESS(ROW(R26),COLUMN(R26)))</f>
        <v>0</v>
      </c>
      <c r="M28" s="108" t="e" cm="1">
        <f ca="1" t="array" ref="M28">INDIRECT("'"&amp;$B$3&amp;"'"&amp;"!"&amp;ADDRESS(ROW(S26),COLUMN(S26)))</f>
        <v>#DIV/0!</v>
      </c>
      <c r="N28" s="108" t="e" cm="1">
        <f ca="1" t="array" ref="N28">INDIRECT("'"&amp;$B$3&amp;"'"&amp;"!"&amp;ADDRESS(ROW(T26),COLUMN(T26)))</f>
        <v>#DIV/0!</v>
      </c>
      <c r="O28" s="108" t="e" cm="1">
        <f ca="1" t="array" ref="O28">INDIRECT("'"&amp;$B$3&amp;"'"&amp;"!"&amp;ADDRESS(ROW(U26),COLUMN(U26)))</f>
        <v>#DIV/0!</v>
      </c>
      <c r="P28" s="108" t="e" cm="1">
        <f ca="1" t="array" ref="P28">INDIRECT("'"&amp;$B$3&amp;"'"&amp;"!"&amp;ADDRESS(ROW(V26),COLUMN(V26)))</f>
        <v>#DIV/0!</v>
      </c>
      <c r="Q28" s="109" t="e">
        <f ca="1" t="shared" si="6"/>
        <v>#DIV/0!</v>
      </c>
      <c r="R28" s="108" cm="1">
        <f ca="1" t="array" ref="R28">INDIRECT("'"&amp;$B$4&amp;"'"&amp;"!"&amp;ADDRESS(ROW(R26),COLUMN(R26)))</f>
        <v>0</v>
      </c>
      <c r="S28" s="108" t="e" cm="1">
        <f ca="1" t="array" ref="S28">INDIRECT("'"&amp;$B$4&amp;"'"&amp;"!"&amp;ADDRESS(ROW(S26),COLUMN(S26)))</f>
        <v>#DIV/0!</v>
      </c>
      <c r="T28" s="108" t="e" cm="1">
        <f ca="1" t="array" ref="T28">INDIRECT("'"&amp;$B$4&amp;"'"&amp;"!"&amp;ADDRESS(ROW(T26),COLUMN(T26)))</f>
        <v>#DIV/0!</v>
      </c>
      <c r="U28" s="108" t="e" cm="1">
        <f ca="1" t="array" ref="U28">INDIRECT("'"&amp;$B$4&amp;"'"&amp;"!"&amp;ADDRESS(ROW(U26),COLUMN(U26)))</f>
        <v>#DIV/0!</v>
      </c>
      <c r="V28" s="108" t="e" cm="1">
        <f ca="1" t="array" ref="V28">INDIRECT("'"&amp;$B$4&amp;"'"&amp;"!"&amp;ADDRESS(ROW(V26),COLUMN(V26)))</f>
        <v>#DIV/0!</v>
      </c>
      <c r="W28" s="109" t="e">
        <f ca="1" t="shared" si="7"/>
        <v>#DIV/0!</v>
      </c>
      <c r="X28" s="108" cm="1">
        <f ca="1" t="array" ref="X28">INDIRECT("'"&amp;$B$5&amp;"'"&amp;"!"&amp;ADDRESS(ROW(R26),COLUMN(R26)))</f>
        <v>0</v>
      </c>
      <c r="Y28" s="108" t="e" cm="1">
        <f ca="1" t="array" ref="Y28">INDIRECT("'"&amp;$B$5&amp;"'"&amp;"!"&amp;ADDRESS(ROW(S26),COLUMN(S26)))</f>
        <v>#DIV/0!</v>
      </c>
      <c r="Z28" s="108" t="e" cm="1">
        <f ca="1" t="array" ref="Z28">INDIRECT("'"&amp;$B$5&amp;"'"&amp;"!"&amp;ADDRESS(ROW(T26),COLUMN(T26)))</f>
        <v>#DIV/0!</v>
      </c>
      <c r="AA28" s="108" t="e" cm="1">
        <f ca="1" t="array" ref="AA28">INDIRECT("'"&amp;$B$5&amp;"'"&amp;"!"&amp;ADDRESS(ROW(U26),COLUMN(U26)))</f>
        <v>#DIV/0!</v>
      </c>
      <c r="AB28" s="108" t="e" cm="1">
        <f ca="1" t="array" ref="AB28">INDIRECT("'"&amp;$B$5&amp;"'"&amp;"!"&amp;ADDRESS(ROW(V26),COLUMN(V26)))</f>
        <v>#DIV/0!</v>
      </c>
      <c r="AC28" s="109" t="e">
        <f ca="1" t="shared" si="8"/>
        <v>#DIV/0!</v>
      </c>
      <c r="AD28" s="108" cm="1">
        <f ca="1" t="array" ref="AD28">INDIRECT("'"&amp;$B$6&amp;"'"&amp;"!"&amp;ADDRESS(ROW(R26),COLUMN(R26)))</f>
        <v>0</v>
      </c>
      <c r="AE28" s="108" t="e" cm="1">
        <f ca="1" t="array" ref="AE28">INDIRECT("'"&amp;$B$6&amp;"'"&amp;"!"&amp;ADDRESS(ROW(S26),COLUMN(S26)))</f>
        <v>#DIV/0!</v>
      </c>
      <c r="AF28" s="108" t="e" cm="1">
        <f ca="1" t="array" ref="AF28">INDIRECT("'"&amp;$B$6&amp;"'"&amp;"!"&amp;ADDRESS(ROW(T26),COLUMN(T26)))</f>
        <v>#DIV/0!</v>
      </c>
      <c r="AG28" s="108" t="e" cm="1">
        <f ca="1" t="array" ref="AG28">INDIRECT("'"&amp;$B$6&amp;"'"&amp;"!"&amp;ADDRESS(ROW(U26),COLUMN(U26)))</f>
        <v>#DIV/0!</v>
      </c>
      <c r="AH28" s="108" t="e" cm="1">
        <f ca="1" t="array" ref="AH28">INDIRECT("'"&amp;$B$6&amp;"'"&amp;"!"&amp;ADDRESS(ROW(V26),COLUMN(V26)))</f>
        <v>#DIV/0!</v>
      </c>
      <c r="AI28" s="109" t="e">
        <f ca="1" t="shared" si="9"/>
        <v>#DIV/0!</v>
      </c>
    </row>
    <row r="29" spans="5:35">
      <c r="E29" s="19" t="s">
        <v>31</v>
      </c>
      <c r="F29" s="108" cm="1">
        <f ca="1" t="array" ref="F29">INDIRECT("'"&amp;$B$2&amp;"'"&amp;"!"&amp;ADDRESS(ROW(R27),COLUMN(R27)))</f>
        <v>0</v>
      </c>
      <c r="G29" s="108" t="e" cm="1">
        <f ca="1" t="array" ref="G29">INDIRECT("'"&amp;$B$2&amp;"'"&amp;"!"&amp;ADDRESS(ROW(S27),COLUMN(S27)))</f>
        <v>#DIV/0!</v>
      </c>
      <c r="H29" s="108" t="e" cm="1">
        <f ca="1" t="array" ref="H29">INDIRECT("'"&amp;$B$2&amp;"'"&amp;"!"&amp;ADDRESS(ROW(T27),COLUMN(T27)))</f>
        <v>#DIV/0!</v>
      </c>
      <c r="I29" s="108" t="e" cm="1">
        <f ca="1" t="array" ref="I29">INDIRECT("'"&amp;$B$2&amp;"'"&amp;"!"&amp;ADDRESS(ROW(U27),COLUMN(U27)))</f>
        <v>#DIV/0!</v>
      </c>
      <c r="J29" s="108" t="e" cm="1">
        <f ca="1" t="array" ref="J29">INDIRECT("'"&amp;$B$2&amp;"'"&amp;"!"&amp;ADDRESS(ROW(V27),COLUMN(V27)))</f>
        <v>#DIV/0!</v>
      </c>
      <c r="K29" s="109" t="e">
        <f ca="1" t="shared" si="5"/>
        <v>#DIV/0!</v>
      </c>
      <c r="L29" s="108" cm="1">
        <f ca="1" t="array" ref="L29">INDIRECT("'"&amp;$B$3&amp;"'"&amp;"!"&amp;ADDRESS(ROW(R27),COLUMN(R27)))</f>
        <v>0</v>
      </c>
      <c r="M29" s="108" t="e" cm="1">
        <f ca="1" t="array" ref="M29">INDIRECT("'"&amp;$B$3&amp;"'"&amp;"!"&amp;ADDRESS(ROW(S27),COLUMN(S27)))</f>
        <v>#DIV/0!</v>
      </c>
      <c r="N29" s="108" t="e" cm="1">
        <f ca="1" t="array" ref="N29">INDIRECT("'"&amp;$B$3&amp;"'"&amp;"!"&amp;ADDRESS(ROW(T27),COLUMN(T27)))</f>
        <v>#DIV/0!</v>
      </c>
      <c r="O29" s="108" t="e" cm="1">
        <f ca="1" t="array" ref="O29">INDIRECT("'"&amp;$B$3&amp;"'"&amp;"!"&amp;ADDRESS(ROW(U27),COLUMN(U27)))</f>
        <v>#DIV/0!</v>
      </c>
      <c r="P29" s="108" t="e" cm="1">
        <f ca="1" t="array" ref="P29">INDIRECT("'"&amp;$B$3&amp;"'"&amp;"!"&amp;ADDRESS(ROW(V27),COLUMN(V27)))</f>
        <v>#DIV/0!</v>
      </c>
      <c r="Q29" s="109" t="e">
        <f ca="1" t="shared" si="6"/>
        <v>#DIV/0!</v>
      </c>
      <c r="R29" s="108" cm="1">
        <f ca="1" t="array" ref="R29">INDIRECT("'"&amp;$B$4&amp;"'"&amp;"!"&amp;ADDRESS(ROW(R27),COLUMN(R27)))</f>
        <v>0</v>
      </c>
      <c r="S29" s="108" t="e" cm="1">
        <f ca="1" t="array" ref="S29">INDIRECT("'"&amp;$B$4&amp;"'"&amp;"!"&amp;ADDRESS(ROW(S27),COLUMN(S27)))</f>
        <v>#DIV/0!</v>
      </c>
      <c r="T29" s="108" t="e" cm="1">
        <f ca="1" t="array" ref="T29">INDIRECT("'"&amp;$B$4&amp;"'"&amp;"!"&amp;ADDRESS(ROW(T27),COLUMN(T27)))</f>
        <v>#DIV/0!</v>
      </c>
      <c r="U29" s="108" t="e" cm="1">
        <f ca="1" t="array" ref="U29">INDIRECT("'"&amp;$B$4&amp;"'"&amp;"!"&amp;ADDRESS(ROW(U27),COLUMN(U27)))</f>
        <v>#DIV/0!</v>
      </c>
      <c r="V29" s="108" t="e" cm="1">
        <f ca="1" t="array" ref="V29">INDIRECT("'"&amp;$B$4&amp;"'"&amp;"!"&amp;ADDRESS(ROW(V27),COLUMN(V27)))</f>
        <v>#DIV/0!</v>
      </c>
      <c r="W29" s="109" t="e">
        <f ca="1" t="shared" si="7"/>
        <v>#DIV/0!</v>
      </c>
      <c r="X29" s="108" cm="1">
        <f ca="1" t="array" ref="X29">INDIRECT("'"&amp;$B$5&amp;"'"&amp;"!"&amp;ADDRESS(ROW(R27),COLUMN(R27)))</f>
        <v>0</v>
      </c>
      <c r="Y29" s="108" t="e" cm="1">
        <f ca="1" t="array" ref="Y29">INDIRECT("'"&amp;$B$5&amp;"'"&amp;"!"&amp;ADDRESS(ROW(S27),COLUMN(S27)))</f>
        <v>#DIV/0!</v>
      </c>
      <c r="Z29" s="108" t="e" cm="1">
        <f ca="1" t="array" ref="Z29">INDIRECT("'"&amp;$B$5&amp;"'"&amp;"!"&amp;ADDRESS(ROW(T27),COLUMN(T27)))</f>
        <v>#DIV/0!</v>
      </c>
      <c r="AA29" s="108" t="e" cm="1">
        <f ca="1" t="array" ref="AA29">INDIRECT("'"&amp;$B$5&amp;"'"&amp;"!"&amp;ADDRESS(ROW(U27),COLUMN(U27)))</f>
        <v>#DIV/0!</v>
      </c>
      <c r="AB29" s="108" t="e" cm="1">
        <f ca="1" t="array" ref="AB29">INDIRECT("'"&amp;$B$5&amp;"'"&amp;"!"&amp;ADDRESS(ROW(V27),COLUMN(V27)))</f>
        <v>#DIV/0!</v>
      </c>
      <c r="AC29" s="109" t="e">
        <f ca="1" t="shared" si="8"/>
        <v>#DIV/0!</v>
      </c>
      <c r="AD29" s="108" cm="1">
        <f ca="1" t="array" ref="AD29">INDIRECT("'"&amp;$B$6&amp;"'"&amp;"!"&amp;ADDRESS(ROW(R27),COLUMN(R27)))</f>
        <v>0</v>
      </c>
      <c r="AE29" s="108" t="e" cm="1">
        <f ca="1" t="array" ref="AE29">INDIRECT("'"&amp;$B$6&amp;"'"&amp;"!"&amp;ADDRESS(ROW(S27),COLUMN(S27)))</f>
        <v>#DIV/0!</v>
      </c>
      <c r="AF29" s="108" t="e" cm="1">
        <f ca="1" t="array" ref="AF29">INDIRECT("'"&amp;$B$6&amp;"'"&amp;"!"&amp;ADDRESS(ROW(T27),COLUMN(T27)))</f>
        <v>#DIV/0!</v>
      </c>
      <c r="AG29" s="108" t="e" cm="1">
        <f ca="1" t="array" ref="AG29">INDIRECT("'"&amp;$B$6&amp;"'"&amp;"!"&amp;ADDRESS(ROW(U27),COLUMN(U27)))</f>
        <v>#DIV/0!</v>
      </c>
      <c r="AH29" s="108" t="e" cm="1">
        <f ca="1" t="array" ref="AH29">INDIRECT("'"&amp;$B$6&amp;"'"&amp;"!"&amp;ADDRESS(ROW(V27),COLUMN(V27)))</f>
        <v>#DIV/0!</v>
      </c>
      <c r="AI29" s="109" t="e">
        <f ca="1" t="shared" si="9"/>
        <v>#DIV/0!</v>
      </c>
    </row>
    <row r="30" spans="5:35">
      <c r="E30" s="48" t="s">
        <v>18</v>
      </c>
      <c r="F30" s="49">
        <f ca="1">SUM(F20:F29)</f>
        <v>0</v>
      </c>
      <c r="G30" s="49" t="e">
        <f ca="1">SUM(G20:G29)</f>
        <v>#DIV/0!</v>
      </c>
      <c r="H30" s="49" t="e">
        <f ca="1">SUM(H20:H29)</f>
        <v>#DIV/0!</v>
      </c>
      <c r="I30" s="49" t="e">
        <f ca="1">SUM(I20:I29)</f>
        <v>#DIV/0!</v>
      </c>
      <c r="J30" s="49" t="e">
        <f ca="1">SUM(J20:J29)</f>
        <v>#DIV/0!</v>
      </c>
      <c r="K30" s="110" t="e">
        <f ca="1" t="shared" si="5"/>
        <v>#DIV/0!</v>
      </c>
      <c r="L30" s="49">
        <f ca="1">SUM(L20:L29)</f>
        <v>0</v>
      </c>
      <c r="M30" s="49" t="e">
        <f ca="1">SUM(M20:M29)</f>
        <v>#DIV/0!</v>
      </c>
      <c r="N30" s="49" t="e">
        <f ca="1">SUM(N20:N29)</f>
        <v>#DIV/0!</v>
      </c>
      <c r="O30" s="49" t="e">
        <f ca="1">SUM(O20:O29)</f>
        <v>#DIV/0!</v>
      </c>
      <c r="P30" s="49" t="e">
        <f ca="1">SUM(P20:P29)</f>
        <v>#DIV/0!</v>
      </c>
      <c r="Q30" s="110" t="e">
        <f ca="1" t="shared" si="6"/>
        <v>#DIV/0!</v>
      </c>
      <c r="R30" s="49">
        <f ca="1">SUM(R20:R29)</f>
        <v>0</v>
      </c>
      <c r="S30" s="49" t="e">
        <f ca="1">SUM(S20:S29)</f>
        <v>#DIV/0!</v>
      </c>
      <c r="T30" s="49" t="e">
        <f ca="1">SUM(T20:T29)</f>
        <v>#DIV/0!</v>
      </c>
      <c r="U30" s="49" t="e">
        <f ca="1">SUM(U20:U29)</f>
        <v>#DIV/0!</v>
      </c>
      <c r="V30" s="49" t="e">
        <f ca="1">SUM(V20:V29)</f>
        <v>#DIV/0!</v>
      </c>
      <c r="W30" s="110" t="e">
        <f ca="1" t="shared" si="7"/>
        <v>#DIV/0!</v>
      </c>
      <c r="X30" s="49">
        <f ca="1">SUM(X20:X29)</f>
        <v>0</v>
      </c>
      <c r="Y30" s="49" t="e">
        <f ca="1">SUM(Y20:Y29)</f>
        <v>#DIV/0!</v>
      </c>
      <c r="Z30" s="49" t="e">
        <f ca="1">SUM(Z20:Z29)</f>
        <v>#DIV/0!</v>
      </c>
      <c r="AA30" s="49" t="e">
        <f ca="1">SUM(AA20:AA29)</f>
        <v>#DIV/0!</v>
      </c>
      <c r="AB30" s="49" t="e">
        <f ca="1">SUM(AB20:AB29)</f>
        <v>#DIV/0!</v>
      </c>
      <c r="AC30" s="110" t="e">
        <f ca="1" t="shared" si="8"/>
        <v>#DIV/0!</v>
      </c>
      <c r="AD30" s="49">
        <f ca="1">SUM(AD20:AD29)</f>
        <v>0</v>
      </c>
      <c r="AE30" s="49" t="e">
        <f ca="1">SUM(AE20:AE29)</f>
        <v>#DIV/0!</v>
      </c>
      <c r="AF30" s="49" t="e">
        <f ca="1">SUM(AF20:AF29)</f>
        <v>#DIV/0!</v>
      </c>
      <c r="AG30" s="49" t="e">
        <f ca="1">SUM(AG20:AG29)</f>
        <v>#DIV/0!</v>
      </c>
      <c r="AH30" s="49" t="e">
        <f ca="1">SUM(AH20:AH29)</f>
        <v>#DIV/0!</v>
      </c>
      <c r="AI30" s="110" t="e">
        <f ca="1" t="shared" si="9"/>
        <v>#DIV/0!</v>
      </c>
    </row>
    <row r="33" spans="5:12">
      <c r="E33" s="111" t="s">
        <v>33</v>
      </c>
    </row>
    <row r="34" spans="5:12">
      <c r="E34" s="9" t="s">
        <v>5</v>
      </c>
      <c r="F34" s="9" t="s">
        <v>34</v>
      </c>
      <c r="G34" s="9" t="s">
        <v>13</v>
      </c>
      <c r="H34" s="9" t="s">
        <v>14</v>
      </c>
      <c r="I34" s="9" t="s">
        <v>15</v>
      </c>
      <c r="J34" s="9" t="s">
        <v>16</v>
      </c>
      <c r="K34" s="9" t="s">
        <v>17</v>
      </c>
      <c r="L34" s="9" t="s">
        <v>18</v>
      </c>
    </row>
    <row r="35" spans="5:12">
      <c r="E35" s="111" t="s">
        <v>6</v>
      </c>
      <c r="F35" s="112">
        <v>0.2</v>
      </c>
      <c r="G35" s="113">
        <f ca="1" t="shared" ref="G35:L35" si="10">IFERROR(F30,0)</f>
        <v>0</v>
      </c>
      <c r="H35" s="113">
        <f ca="1" t="shared" si="10"/>
        <v>0</v>
      </c>
      <c r="I35" s="113">
        <f ca="1" t="shared" si="10"/>
        <v>0</v>
      </c>
      <c r="J35" s="113">
        <f ca="1" t="shared" si="10"/>
        <v>0</v>
      </c>
      <c r="K35" s="113">
        <f ca="1" t="shared" si="10"/>
        <v>0</v>
      </c>
      <c r="L35" s="113">
        <f ca="1" t="shared" si="10"/>
        <v>0</v>
      </c>
    </row>
    <row r="36" spans="5:12">
      <c r="E36" s="111" t="s">
        <v>7</v>
      </c>
      <c r="F36" s="112">
        <v>0.2</v>
      </c>
      <c r="G36" s="113">
        <f ca="1" t="shared" ref="G36:L36" si="11">IFERROR(L30,0)</f>
        <v>0</v>
      </c>
      <c r="H36" s="113">
        <f ca="1" t="shared" si="11"/>
        <v>0</v>
      </c>
      <c r="I36" s="113">
        <f ca="1" t="shared" si="11"/>
        <v>0</v>
      </c>
      <c r="J36" s="113">
        <f ca="1" t="shared" si="11"/>
        <v>0</v>
      </c>
      <c r="K36" s="113">
        <f ca="1" t="shared" si="11"/>
        <v>0</v>
      </c>
      <c r="L36" s="113">
        <f ca="1" t="shared" si="11"/>
        <v>0</v>
      </c>
    </row>
    <row r="37" spans="5:12">
      <c r="E37" s="111" t="s">
        <v>8</v>
      </c>
      <c r="F37" s="112">
        <v>0.2</v>
      </c>
      <c r="G37" s="113">
        <f ca="1" t="shared" ref="G37:L37" si="12">IFERROR(R30,0)</f>
        <v>0</v>
      </c>
      <c r="H37" s="113">
        <f ca="1" t="shared" si="12"/>
        <v>0</v>
      </c>
      <c r="I37" s="113">
        <f ca="1" t="shared" si="12"/>
        <v>0</v>
      </c>
      <c r="J37" s="113">
        <f ca="1" t="shared" si="12"/>
        <v>0</v>
      </c>
      <c r="K37" s="113">
        <f ca="1" t="shared" si="12"/>
        <v>0</v>
      </c>
      <c r="L37" s="113">
        <f ca="1" t="shared" si="12"/>
        <v>0</v>
      </c>
    </row>
    <row r="38" spans="5:12">
      <c r="E38" s="111" t="s">
        <v>9</v>
      </c>
      <c r="F38" s="112">
        <v>0.2</v>
      </c>
      <c r="G38" s="113">
        <f ca="1" t="shared" ref="G38:L38" si="13">IFERROR(X30,0)</f>
        <v>0</v>
      </c>
      <c r="H38" s="113">
        <f ca="1" t="shared" si="13"/>
        <v>0</v>
      </c>
      <c r="I38" s="113">
        <f ca="1" t="shared" si="13"/>
        <v>0</v>
      </c>
      <c r="J38" s="113">
        <f ca="1" t="shared" si="13"/>
        <v>0</v>
      </c>
      <c r="K38" s="113">
        <f ca="1" t="shared" si="13"/>
        <v>0</v>
      </c>
      <c r="L38" s="113">
        <f ca="1" t="shared" si="13"/>
        <v>0</v>
      </c>
    </row>
    <row r="39" spans="5:12">
      <c r="E39" s="111" t="s">
        <v>10</v>
      </c>
      <c r="F39" s="112">
        <v>0.2</v>
      </c>
      <c r="G39" s="113">
        <f ca="1" t="shared" ref="G39:L39" si="14">IFERROR(AD30,0)</f>
        <v>0</v>
      </c>
      <c r="H39" s="113">
        <f ca="1" t="shared" si="14"/>
        <v>0</v>
      </c>
      <c r="I39" s="113">
        <f ca="1" t="shared" si="14"/>
        <v>0</v>
      </c>
      <c r="J39" s="113">
        <f ca="1" t="shared" si="14"/>
        <v>0</v>
      </c>
      <c r="K39" s="113">
        <f ca="1" t="shared" si="14"/>
        <v>0</v>
      </c>
      <c r="L39" s="113">
        <f ca="1" t="shared" si="14"/>
        <v>0</v>
      </c>
    </row>
    <row r="40" spans="5:12">
      <c r="E40" s="114" t="s">
        <v>35</v>
      </c>
      <c r="F40" s="114"/>
      <c r="G40" s="114">
        <f ca="1" t="shared" ref="G40:L40" si="15">G35*$F$35+G36*$F$36+G37*$F$37+G38*$F$38+G39*$F$39</f>
        <v>0</v>
      </c>
      <c r="H40" s="114">
        <f ca="1" t="shared" si="15"/>
        <v>0</v>
      </c>
      <c r="I40" s="114">
        <f ca="1" t="shared" si="15"/>
        <v>0</v>
      </c>
      <c r="J40" s="114">
        <f ca="1" t="shared" si="15"/>
        <v>0</v>
      </c>
      <c r="K40" s="114">
        <f ca="1" t="shared" si="15"/>
        <v>0</v>
      </c>
      <c r="L40" s="114">
        <f ca="1" t="shared" si="15"/>
        <v>0</v>
      </c>
    </row>
  </sheetData>
  <sheetProtection formatCells="0" formatColumns="0" formatRows="0"/>
  <protectedRanges>
    <protectedRange sqref="C$1:C$1048576 E4:E13 E20:E29 E35:E39 F35:F39 F2:AI2 F18:AI18" name="区域1"/>
  </protectedRanges>
  <mergeCells count="11">
    <mergeCell ref="F2:K2"/>
    <mergeCell ref="L2:Q2"/>
    <mergeCell ref="R2:W2"/>
    <mergeCell ref="X2:AC2"/>
    <mergeCell ref="AD2:AI2"/>
    <mergeCell ref="F18:K18"/>
    <mergeCell ref="L18:Q18"/>
    <mergeCell ref="R18:W18"/>
    <mergeCell ref="X18:AC18"/>
    <mergeCell ref="AD18:AI18"/>
    <mergeCell ref="E40:F40"/>
  </mergeCells>
  <hyperlinks>
    <hyperlink ref="C2" location="'测算模型(1)'!A1" display="测算模型(1)'!A1"/>
    <hyperlink ref="C3" location="'测算模型 (2)'!A1" display="测算模型 (2)'!A1"/>
    <hyperlink ref="C4" location="'测算模型 (3)'!A1" display="测算模型 (3)'!A1"/>
    <hyperlink ref="C5" location="'测算模型 (4)'!A1" display="测算模型 (4)'!A1"/>
    <hyperlink ref="C6" location="'测算模型 (5)'!A1" display="测算模型 (5)'!A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K93"/>
  <sheetViews>
    <sheetView showGridLines="0" topLeftCell="F63" workbookViewId="0">
      <selection activeCell="AD58" sqref="AD58:AD60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9" width="10" style="1" customWidth="1"/>
    <col min="10" max="13" width="10" style="1" hidden="1" customWidth="1"/>
    <col min="14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X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8" t="s">
        <v>20</v>
      </c>
      <c r="F2" s="88" t="s">
        <v>22</v>
      </c>
      <c r="G2" s="88" t="s">
        <v>24</v>
      </c>
      <c r="H2" s="88" t="s">
        <v>25</v>
      </c>
      <c r="I2" s="88" t="s">
        <v>26</v>
      </c>
      <c r="J2" s="88" t="s">
        <v>27</v>
      </c>
      <c r="K2" s="88" t="s">
        <v>28</v>
      </c>
      <c r="L2" s="88" t="s">
        <v>29</v>
      </c>
      <c r="M2" s="88" t="s">
        <v>30</v>
      </c>
      <c r="N2" s="8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89" t="s">
        <v>48</v>
      </c>
      <c r="F3" s="89"/>
      <c r="G3" s="89"/>
      <c r="H3" s="89"/>
      <c r="I3" s="89"/>
      <c r="J3" s="89"/>
      <c r="K3" s="89"/>
      <c r="L3" s="89"/>
      <c r="M3" s="89"/>
      <c r="N3" s="89"/>
      <c r="Q3" s="90" t="s">
        <v>20</v>
      </c>
      <c r="R3" s="20" t="e">
        <f t="shared" ref="R3:W3" si="0">R18/$E$4</f>
        <v>#DIV/0!</v>
      </c>
      <c r="S3" s="20" t="e">
        <f t="shared" si="0"/>
        <v>#DIV/0!</v>
      </c>
      <c r="T3" s="20" t="e">
        <f t="shared" si="0"/>
        <v>#DIV/0!</v>
      </c>
      <c r="U3" s="20" t="e">
        <f t="shared" si="0"/>
        <v>#DIV/0!</v>
      </c>
      <c r="V3" s="20" t="e">
        <f t="shared" si="0"/>
        <v>#DIV/0!</v>
      </c>
      <c r="W3" s="20" t="e">
        <f t="shared" si="0"/>
        <v>#DIV/0!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0</v>
      </c>
      <c r="AK3" s="24" cm="1">
        <f t="array" ref="AK3">IF(AK2&lt;=$E$10,$E$4*SUMPRODUCT($E$7:$N$7,$E$8:$N$8,$E$9:$N$9),0)</f>
        <v>0</v>
      </c>
      <c r="AL3" s="24" cm="1">
        <f t="array" ref="AL3">IF(AL2&lt;=$E$10,$E$4*SUMPRODUCT($E$7:$N$7,$E$8:$N$8,$E$9:$N$9),0)</f>
        <v>0</v>
      </c>
      <c r="AM3" s="24" cm="1">
        <f t="array" ref="AM3">IF(AM2&lt;=$E$10,$E$4*SUMPRODUCT($E$7:$N$7,$E$8:$N$8,$E$9:$N$9),0)</f>
        <v>0</v>
      </c>
      <c r="AN3" s="24" cm="1">
        <f t="array" ref="AN3">IF(AN2&lt;=$E$10,$E$4*SUMPRODUCT($E$7:$N$7,$E$8:$N$8,$E$9:$N$9),0)</f>
        <v>0</v>
      </c>
      <c r="AO3" s="24" cm="1">
        <f t="array" ref="AO3">IF(AO2&lt;=$E$10,$E$4*SUMPRODUCT($E$7:$N$7,$E$8:$N$8,$E$9:$N$9),0)</f>
        <v>0</v>
      </c>
      <c r="AP3" s="24" cm="1">
        <f t="array" ref="AP3">IF(AP2&lt;=$E$10,$E$4*SUMPRODUCT($E$7:$N$7,$E$8:$N$8,$E$9:$N$9),0)</f>
        <v>0</v>
      </c>
      <c r="AQ3" s="24" cm="1">
        <f t="array" ref="AQ3">IF(AQ2&lt;=$E$10,$E$4*SUMPRODUCT($E$7:$N$7,$E$8:$N$8,$E$9:$N$9),0)</f>
        <v>0</v>
      </c>
      <c r="AR3" s="24" cm="1">
        <f t="array" ref="AR3">IF(AR2&lt;=$E$10,$E$4*SUMPRODUCT($E$7:$N$7,$E$8:$N$8,$E$9:$N$9),0)</f>
        <v>0</v>
      </c>
      <c r="AS3" s="24" cm="1">
        <f t="array" ref="AS3">IF(AS2&lt;=$E$10,$E$4*SUMPRODUCT($E$7:$N$7,$E$8:$N$8,$E$9:$N$9),0)</f>
        <v>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91" t="s">
        <v>50</v>
      </c>
      <c r="AY3" s="1" t="s">
        <v>51</v>
      </c>
      <c r="AZ3" s="92">
        <v>0.02</v>
      </c>
      <c r="BA3" s="2">
        <f t="shared" ref="BA3:BE3" si="1">IF($AX3="✔",$BF3+BA$2*$AZ3,$BF3)</f>
        <v>-0.1</v>
      </c>
      <c r="BB3" s="2">
        <f t="shared" si="1"/>
        <v>-0.08</v>
      </c>
      <c r="BC3" s="2">
        <f t="shared" si="1"/>
        <v>-0.06</v>
      </c>
      <c r="BD3" s="2">
        <f t="shared" si="1"/>
        <v>-0.04</v>
      </c>
      <c r="BE3" s="2">
        <f t="shared" si="1"/>
        <v>-0.02</v>
      </c>
      <c r="BF3" s="2">
        <f>$E$5</f>
        <v>0</v>
      </c>
      <c r="BG3" s="2">
        <f t="shared" ref="BG3:BK3" si="2">IF($AX3="✔",$BF3+BG$2*$AZ3,$BF3)</f>
        <v>0.02</v>
      </c>
      <c r="BH3" s="2">
        <f t="shared" si="2"/>
        <v>0.04</v>
      </c>
      <c r="BI3" s="2">
        <f t="shared" si="2"/>
        <v>0.06</v>
      </c>
      <c r="BJ3" s="2">
        <f t="shared" si="2"/>
        <v>0.08</v>
      </c>
      <c r="BK3" s="2">
        <f t="shared" si="2"/>
        <v>0.1</v>
      </c>
    </row>
    <row r="4" s="1" customFormat="1" spans="1:63">
      <c r="A4" s="15"/>
      <c r="B4" s="16" t="s">
        <v>52</v>
      </c>
      <c r="C4" s="17" t="s">
        <v>53</v>
      </c>
      <c r="D4" s="17"/>
      <c r="E4" s="93"/>
      <c r="F4" s="93"/>
      <c r="G4" s="93"/>
      <c r="H4" s="93"/>
      <c r="I4" s="93"/>
      <c r="J4" s="93"/>
      <c r="K4" s="93"/>
      <c r="L4" s="93"/>
      <c r="M4" s="93"/>
      <c r="N4" s="93"/>
      <c r="Q4" s="90" t="s">
        <v>22</v>
      </c>
      <c r="R4" s="20" t="e">
        <f t="shared" ref="R4:W4" si="3">R19/$E$4</f>
        <v>#DIV/0!</v>
      </c>
      <c r="S4" s="20" t="e">
        <f t="shared" si="3"/>
        <v>#DIV/0!</v>
      </c>
      <c r="T4" s="20" t="e">
        <f t="shared" si="3"/>
        <v>#DIV/0!</v>
      </c>
      <c r="U4" s="20" t="e">
        <f t="shared" si="3"/>
        <v>#DIV/0!</v>
      </c>
      <c r="V4" s="20" t="e">
        <f t="shared" si="3"/>
        <v>#DIV/0!</v>
      </c>
      <c r="W4" s="20" t="e">
        <f t="shared" si="3"/>
        <v>#DIV/0!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91"/>
      <c r="AY4" s="1" t="s">
        <v>55</v>
      </c>
      <c r="AZ4" s="92">
        <v>2</v>
      </c>
      <c r="BA4" s="30" t="str" cm="1">
        <f t="array" ref="BA4">IF($AX4="✔",_xlfn.TEXTJOIN(",",TRUE,IF($E$7:$N$7&lt;&gt;"",$E$2:$N$2&amp;":"&amp;$E$7:$N$7+BA$2*$AZ4,"")),$BF$4)</f>
        <v/>
      </c>
      <c r="BB4" s="30" t="str" cm="1">
        <f t="array" ref="BB4">IF($AX4="✔",_xlfn.TEXTJOIN(",",TRUE,IF($E$7:$N$7&lt;&gt;"",$E$2:$N$2&amp;":"&amp;$E$7:$N$7+BB$2*$AZ4,"")),$BF$4)</f>
        <v/>
      </c>
      <c r="BC4" s="30" t="str" cm="1">
        <f t="array" ref="BC4">IF($AX4="✔",_xlfn.TEXTJOIN(",",TRUE,IF($E$7:$N$7&lt;&gt;"",$E$2:$N$2&amp;":"&amp;$E$7:$N$7+BC$2*$AZ4,"")),$BF$4)</f>
        <v/>
      </c>
      <c r="BD4" s="30" t="str" cm="1">
        <f t="array" ref="BD4">IF($AX4="✔",_xlfn.TEXTJOIN(",",TRUE,IF($E$7:$N$7&lt;&gt;"",$E$2:$N$2&amp;":"&amp;$E$7:$N$7+BD$2*$AZ4,"")),$BF$4)</f>
        <v/>
      </c>
      <c r="BE4" s="30" t="str" cm="1">
        <f t="array" ref="BE4">IF($AX4="✔",_xlfn.TEXTJOIN(",",TRUE,IF($E$7:$N$7&lt;&gt;"",$E$2:$N$2&amp;":"&amp;$E$7:$N$7+BE$2*$AZ4,"")),$BF$4)</f>
        <v/>
      </c>
      <c r="BF4" s="31" t="str" cm="1">
        <f t="array" ref="BF4">_xlfn.TEXTJOIN(", ",TRUE,IF($E$7:$N$7&lt;&gt;"",$E$2:$N$2&amp;":"&amp;$E$7:$N$7,""))</f>
        <v/>
      </c>
      <c r="BG4" s="30" t="str" cm="1">
        <f t="array" ref="BG4">IF($AX4="✔",_xlfn.TEXTJOIN(",",TRUE,IF($E$7:$N$7&lt;&gt;"",$E$2:$N$2&amp;":"&amp;$E$7:$N$7+BG$2*$AZ4,"")),$BF$4)</f>
        <v/>
      </c>
      <c r="BH4" s="30" t="str" cm="1">
        <f t="array" ref="BH4">IF($AX4="✔",_xlfn.TEXTJOIN(",",TRUE,IF($E$7:$N$7&lt;&gt;"",$E$2:$N$2&amp;":"&amp;$E$7:$N$7+BH$2*$AZ4,"")),$BF$4)</f>
        <v/>
      </c>
      <c r="BI4" s="30" t="str" cm="1">
        <f t="array" ref="BI4">IF($AX4="✔",_xlfn.TEXTJOIN(",",TRUE,IF($E$7:$N$7&lt;&gt;"",$E$2:$N$2&amp;":"&amp;$E$7:$N$7+BI$2*$AZ4,"")),$BF$4)</f>
        <v/>
      </c>
      <c r="BJ4" s="30" t="str" cm="1">
        <f t="array" ref="BJ4">IF($AX4="✔",_xlfn.TEXTJOIN(",",TRUE,IF($E$7:$N$7&lt;&gt;"",$E$2:$N$2&amp;":"&amp;$E$7:$N$7+BJ$2*$AZ4,"")),$BF$4)</f>
        <v/>
      </c>
      <c r="BK4" s="30" t="str" cm="1">
        <f t="array" ref="BK4">IF($AX4="✔",_xlfn.TEXTJOIN(",",TRUE,IF($E$7:$N$7&lt;&gt;"",$E$2:$N$2&amp;":"&amp;$E$7:$N$7+BK$2*$AZ4,"")),$BF$4)</f>
        <v/>
      </c>
    </row>
    <row r="5" s="1" customFormat="1" ht="16.5" spans="1:63">
      <c r="A5" s="15"/>
      <c r="B5" s="16" t="s">
        <v>51</v>
      </c>
      <c r="C5" s="17" t="s">
        <v>56</v>
      </c>
      <c r="D5" s="17"/>
      <c r="E5" s="94"/>
      <c r="F5" s="94"/>
      <c r="G5" s="94"/>
      <c r="H5" s="94"/>
      <c r="I5" s="94"/>
      <c r="J5" s="94"/>
      <c r="K5" s="94"/>
      <c r="L5" s="94"/>
      <c r="M5" s="94"/>
      <c r="N5" s="94"/>
      <c r="Q5" s="90" t="s">
        <v>24</v>
      </c>
      <c r="R5" s="20" t="e">
        <f t="shared" ref="R5:W5" si="4">R20/$E$4</f>
        <v>#DIV/0!</v>
      </c>
      <c r="S5" s="20" t="e">
        <f t="shared" si="4"/>
        <v>#DIV/0!</v>
      </c>
      <c r="T5" s="20" t="e">
        <f t="shared" si="4"/>
        <v>#DIV/0!</v>
      </c>
      <c r="U5" s="20" t="e">
        <f t="shared" si="4"/>
        <v>#DIV/0!</v>
      </c>
      <c r="V5" s="20" t="e">
        <f t="shared" si="4"/>
        <v>#DIV/0!</v>
      </c>
      <c r="W5" s="20" t="e">
        <f t="shared" si="4"/>
        <v>#DIV/0!</v>
      </c>
      <c r="AE5" s="33"/>
      <c r="AF5" s="34"/>
      <c r="AG5" s="28"/>
      <c r="AH5" s="1" t="s">
        <v>57</v>
      </c>
      <c r="AI5" s="35"/>
      <c r="AJ5" s="29">
        <f>IF(AJ2&lt;=$E$12,$E$4*$E$13,0)</f>
        <v>0</v>
      </c>
      <c r="AK5" s="29">
        <f t="shared" ref="AJ5:AU5" si="5">IF(AK2&lt;=$E$12,$E$4*$E$13,0)</f>
        <v>0</v>
      </c>
      <c r="AL5" s="29">
        <f t="shared" si="5"/>
        <v>0</v>
      </c>
      <c r="AM5" s="29">
        <f t="shared" si="5"/>
        <v>0</v>
      </c>
      <c r="AN5" s="29">
        <f t="shared" si="5"/>
        <v>0</v>
      </c>
      <c r="AO5" s="29">
        <f t="shared" si="5"/>
        <v>0</v>
      </c>
      <c r="AP5" s="29">
        <f t="shared" si="5"/>
        <v>0</v>
      </c>
      <c r="AQ5" s="29">
        <f t="shared" si="5"/>
        <v>0</v>
      </c>
      <c r="AR5" s="29">
        <f t="shared" si="5"/>
        <v>0</v>
      </c>
      <c r="AS5" s="29">
        <f t="shared" si="5"/>
        <v>0</v>
      </c>
      <c r="AT5" s="29">
        <f t="shared" si="5"/>
        <v>0</v>
      </c>
      <c r="AU5" s="29">
        <f t="shared" si="5"/>
        <v>0</v>
      </c>
      <c r="AX5" s="91"/>
      <c r="AY5" s="1" t="s">
        <v>58</v>
      </c>
      <c r="AZ5" s="92">
        <v>1</v>
      </c>
      <c r="BA5" s="30" t="str" cm="1">
        <f t="array" ref="BA5">IF($AX5="✔",_xlfn.TEXTJOIN(",",TRUE,IF($E$9:$N$9&lt;&gt;"",$E$2:$N$2&amp;":"&amp;$E$9:$N$9+BA$2*$AZ5,"")),$BF$5)</f>
        <v/>
      </c>
      <c r="BB5" s="30" t="str" cm="1">
        <f t="array" ref="BB5">IF($AX5="✔",_xlfn.TEXTJOIN(",",TRUE,IF($E$9:$N$9&lt;&gt;"",$E$2:$N$2&amp;":"&amp;$E$9:$N$9+BB$2*$AZ5,"")),$BF$5)</f>
        <v/>
      </c>
      <c r="BC5" s="30" t="str" cm="1">
        <f t="array" ref="BC5">IF($AX5="✔",_xlfn.TEXTJOIN(",",TRUE,IF($E$9:$N$9&lt;&gt;"",$E$2:$N$2&amp;":"&amp;$E$9:$N$9+BC$2*$AZ5,"")),$BF$5)</f>
        <v/>
      </c>
      <c r="BD5" s="30" t="str" cm="1">
        <f t="array" ref="BD5">IF($AX5="✔",_xlfn.TEXTJOIN(",",TRUE,IF($E$9:$N$9&lt;&gt;"",$E$2:$N$2&amp;":"&amp;$E$9:$N$9+BD$2*$AZ5,"")),$BF$5)</f>
        <v/>
      </c>
      <c r="BE5" s="30" t="str" cm="1">
        <f t="array" ref="BE5">IF($AX5="✔",_xlfn.TEXTJOIN(",",TRUE,IF($E$9:$N$9&lt;&gt;"",$E$2:$N$2&amp;":"&amp;$E$9:$N$9+BE$2*$AZ5,"")),$BF$5)</f>
        <v/>
      </c>
      <c r="BF5" s="31" t="str" cm="1">
        <f t="array" ref="BF5">_xlfn.TEXTJOIN(", ",TRUE,IF($E$9:$N$9&lt;&gt;"",$E$2:$N$2&amp;":"&amp;$E$9:$N$9,""))</f>
        <v/>
      </c>
      <c r="BG5" s="30" t="str" cm="1">
        <f t="array" ref="BG5">IF($AX5="✔",_xlfn.TEXTJOIN(",",TRUE,IF($E$9:$N$9&lt;&gt;"",$E$2:$N$2&amp;":"&amp;$E$9:$N$9+BG$2*$AZ5,"")),$BF$5)</f>
        <v/>
      </c>
      <c r="BH5" s="30" t="str" cm="1">
        <f t="array" ref="BH5">IF($AX5="✔",_xlfn.TEXTJOIN(",",TRUE,IF($E$9:$N$9&lt;&gt;"",$E$2:$N$2&amp;":"&amp;$E$9:$N$9+BH$2*$AZ5,"")),$BF$5)</f>
        <v/>
      </c>
      <c r="BI5" s="30" t="str" cm="1">
        <f t="array" ref="BI5">IF($AX5="✔",_xlfn.TEXTJOIN(",",TRUE,IF($E$9:$N$9&lt;&gt;"",$E$2:$N$2&amp;":"&amp;$E$9:$N$9+BI$2*$AZ5,"")),$BF$5)</f>
        <v/>
      </c>
      <c r="BJ5" s="30" t="str" cm="1">
        <f t="array" ref="BJ5">IF($AX5="✔",_xlfn.TEXTJOIN(",",TRUE,IF($E$9:$N$9&lt;&gt;"",$E$2:$N$2&amp;":"&amp;$E$9:$N$9+BJ$2*$AZ5,"")),$BF$5)</f>
        <v/>
      </c>
      <c r="BK5" s="30" t="str" cm="1">
        <f t="array" ref="BK5">IF($AX5="✔",_xlfn.TEXTJOIN(",",TRUE,IF($E$9:$N$9&lt;&gt;"",$E$2:$N$2&amp;":"&amp;$E$9:$N$9+BK$2*$AZ5,"")),$BF$5)</f>
        <v/>
      </c>
    </row>
    <row r="6" s="1" customFormat="1" spans="1:63">
      <c r="A6" s="15"/>
      <c r="B6" s="16" t="s">
        <v>59</v>
      </c>
      <c r="C6" s="17" t="s">
        <v>60</v>
      </c>
      <c r="D6" s="17"/>
      <c r="E6" s="95"/>
      <c r="F6" s="95"/>
      <c r="G6" s="95"/>
      <c r="H6" s="95"/>
      <c r="I6" s="95"/>
      <c r="J6" s="95"/>
      <c r="K6" s="95"/>
      <c r="L6" s="95"/>
      <c r="M6" s="95"/>
      <c r="N6" s="95"/>
      <c r="Q6" s="90" t="s">
        <v>25</v>
      </c>
      <c r="R6" s="20" t="e">
        <f t="shared" ref="R6:W6" si="6">R21/$E$4</f>
        <v>#DIV/0!</v>
      </c>
      <c r="S6" s="20" t="e">
        <f t="shared" si="6"/>
        <v>#DIV/0!</v>
      </c>
      <c r="T6" s="20" t="e">
        <f t="shared" si="6"/>
        <v>#DIV/0!</v>
      </c>
      <c r="U6" s="20" t="e">
        <f t="shared" si="6"/>
        <v>#DIV/0!</v>
      </c>
      <c r="V6" s="20" t="e">
        <f t="shared" si="6"/>
        <v>#DIV/0!</v>
      </c>
      <c r="W6" s="20" t="e">
        <f t="shared" si="6"/>
        <v>#DIV/0!</v>
      </c>
      <c r="AE6" s="27"/>
      <c r="AF6" s="37"/>
      <c r="AG6" s="28"/>
      <c r="AH6" s="1" t="s">
        <v>61</v>
      </c>
      <c r="AI6" s="35"/>
      <c r="AJ6" s="29">
        <f>$E$14*$E$4</f>
        <v>0</v>
      </c>
      <c r="AK6" s="29">
        <f t="shared" ref="AJ6:AU6" si="7">$E$14*$E$4</f>
        <v>0</v>
      </c>
      <c r="AL6" s="29">
        <f t="shared" si="7"/>
        <v>0</v>
      </c>
      <c r="AM6" s="29">
        <f t="shared" si="7"/>
        <v>0</v>
      </c>
      <c r="AN6" s="29">
        <f t="shared" si="7"/>
        <v>0</v>
      </c>
      <c r="AO6" s="29">
        <f t="shared" si="7"/>
        <v>0</v>
      </c>
      <c r="AP6" s="29">
        <f t="shared" si="7"/>
        <v>0</v>
      </c>
      <c r="AQ6" s="29">
        <f t="shared" si="7"/>
        <v>0</v>
      </c>
      <c r="AR6" s="29">
        <f t="shared" si="7"/>
        <v>0</v>
      </c>
      <c r="AS6" s="29">
        <f t="shared" si="7"/>
        <v>0</v>
      </c>
      <c r="AT6" s="29">
        <f t="shared" si="7"/>
        <v>0</v>
      </c>
      <c r="AU6" s="29">
        <f t="shared" si="7"/>
        <v>0</v>
      </c>
      <c r="AX6" s="91" t="s">
        <v>50</v>
      </c>
      <c r="AY6" s="38" t="s">
        <v>62</v>
      </c>
      <c r="AZ6" s="96">
        <v>300</v>
      </c>
      <c r="BA6" s="2">
        <f t="shared" ref="BA6:BE6" si="8">IF($AX6="✔",$BF6+BA$2*$AZ6,$BF6)</f>
        <v>-1500</v>
      </c>
      <c r="BB6" s="2">
        <f t="shared" si="8"/>
        <v>-1200</v>
      </c>
      <c r="BC6" s="2">
        <f t="shared" si="8"/>
        <v>-900</v>
      </c>
      <c r="BD6" s="2">
        <f t="shared" si="8"/>
        <v>-600</v>
      </c>
      <c r="BE6" s="2">
        <f t="shared" si="8"/>
        <v>-300</v>
      </c>
      <c r="BF6" s="40">
        <f>$E$13</f>
        <v>0</v>
      </c>
      <c r="BG6" s="2">
        <f t="shared" ref="BG6:BK6" si="9">IF($AX6="✔",$BF6+BG$2*$AZ6,$BF6)</f>
        <v>300</v>
      </c>
      <c r="BH6" s="2">
        <f t="shared" si="9"/>
        <v>600</v>
      </c>
      <c r="BI6" s="2">
        <f t="shared" si="9"/>
        <v>900</v>
      </c>
      <c r="BJ6" s="2">
        <f t="shared" si="9"/>
        <v>1200</v>
      </c>
      <c r="BK6" s="2">
        <f t="shared" si="9"/>
        <v>1500</v>
      </c>
    </row>
    <row r="7" s="1" customFormat="1" spans="1:63">
      <c r="A7" s="15"/>
      <c r="B7" s="16" t="s">
        <v>55</v>
      </c>
      <c r="C7" s="17" t="s">
        <v>63</v>
      </c>
      <c r="D7" s="17"/>
      <c r="E7" s="95"/>
      <c r="F7" s="95"/>
      <c r="G7" s="95"/>
      <c r="H7" s="95"/>
      <c r="I7" s="95"/>
      <c r="J7" s="95"/>
      <c r="K7" s="95"/>
      <c r="L7" s="95"/>
      <c r="M7" s="95"/>
      <c r="N7" s="95"/>
      <c r="Q7" s="90" t="s">
        <v>26</v>
      </c>
      <c r="R7" s="20" t="e">
        <f t="shared" ref="R7:W7" si="10">R22/$E$4</f>
        <v>#DIV/0!</v>
      </c>
      <c r="S7" s="20" t="e">
        <f t="shared" si="10"/>
        <v>#DIV/0!</v>
      </c>
      <c r="T7" s="20" t="e">
        <f t="shared" si="10"/>
        <v>#DIV/0!</v>
      </c>
      <c r="U7" s="20" t="e">
        <f t="shared" si="10"/>
        <v>#DIV/0!</v>
      </c>
      <c r="V7" s="20" t="e">
        <f t="shared" si="10"/>
        <v>#DIV/0!</v>
      </c>
      <c r="W7" s="20" t="e">
        <f t="shared" si="10"/>
        <v>#DIV/0!</v>
      </c>
      <c r="AE7" s="27"/>
      <c r="AF7" s="37"/>
      <c r="AG7" s="28"/>
      <c r="AH7" s="1" t="s">
        <v>64</v>
      </c>
      <c r="AI7" s="35"/>
      <c r="AJ7" s="29">
        <f>$E$4*$E$15</f>
        <v>0</v>
      </c>
      <c r="AK7" s="29">
        <f t="shared" ref="AJ7:AU7" si="11">$E$4*$E$15</f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91"/>
      <c r="AY7" s="1" t="s">
        <v>65</v>
      </c>
      <c r="AZ7" s="9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95"/>
      <c r="F8" s="95"/>
      <c r="G8" s="95"/>
      <c r="H8" s="95"/>
      <c r="I8" s="95"/>
      <c r="J8" s="95"/>
      <c r="K8" s="95"/>
      <c r="L8" s="95"/>
      <c r="M8" s="95"/>
      <c r="N8" s="95"/>
      <c r="Q8" s="90" t="s">
        <v>27</v>
      </c>
      <c r="R8" s="20" t="e">
        <f t="shared" ref="R8:W8" si="14">R23/$E$4</f>
        <v>#DIV/0!</v>
      </c>
      <c r="S8" s="20" t="e">
        <f t="shared" si="14"/>
        <v>#DIV/0!</v>
      </c>
      <c r="T8" s="20" t="e">
        <f t="shared" si="14"/>
        <v>#DIV/0!</v>
      </c>
      <c r="U8" s="20" t="e">
        <f t="shared" si="14"/>
        <v>#DIV/0!</v>
      </c>
      <c r="V8" s="20" t="e">
        <f t="shared" si="14"/>
        <v>#DIV/0!</v>
      </c>
      <c r="W8" s="20" t="e">
        <f t="shared" si="14"/>
        <v>#DIV/0!</v>
      </c>
      <c r="AE8" s="27"/>
      <c r="AF8" s="37"/>
      <c r="AG8" s="28"/>
      <c r="AH8" s="1" t="s">
        <v>68</v>
      </c>
      <c r="AI8" s="35"/>
      <c r="AJ8" s="29">
        <f>$E$4*$E$16</f>
        <v>0</v>
      </c>
      <c r="AK8" s="29">
        <f t="shared" ref="AJ8:AU8" si="15">$E$4*$E$16</f>
        <v>0</v>
      </c>
      <c r="AL8" s="29">
        <f t="shared" si="15"/>
        <v>0</v>
      </c>
      <c r="AM8" s="29">
        <f t="shared" si="15"/>
        <v>0</v>
      </c>
      <c r="AN8" s="29">
        <f t="shared" si="15"/>
        <v>0</v>
      </c>
      <c r="AO8" s="29">
        <f t="shared" si="15"/>
        <v>0</v>
      </c>
      <c r="AP8" s="29">
        <f t="shared" si="15"/>
        <v>0</v>
      </c>
      <c r="AQ8" s="29">
        <f t="shared" si="15"/>
        <v>0</v>
      </c>
      <c r="AR8" s="29">
        <f t="shared" si="15"/>
        <v>0</v>
      </c>
      <c r="AS8" s="29">
        <f t="shared" si="15"/>
        <v>0</v>
      </c>
      <c r="AT8" s="29">
        <f t="shared" si="15"/>
        <v>0</v>
      </c>
      <c r="AU8" s="29">
        <f t="shared" si="15"/>
        <v>0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95"/>
      <c r="F9" s="95"/>
      <c r="G9" s="95"/>
      <c r="H9" s="95"/>
      <c r="I9" s="95"/>
      <c r="J9" s="95"/>
      <c r="K9" s="95"/>
      <c r="L9" s="95"/>
      <c r="M9" s="95"/>
      <c r="N9" s="95"/>
      <c r="Q9" s="90" t="s">
        <v>28</v>
      </c>
      <c r="R9" s="20" t="e">
        <f t="shared" ref="R9:W9" si="16">R24/$E$4</f>
        <v>#DIV/0!</v>
      </c>
      <c r="S9" s="20" t="e">
        <f t="shared" si="16"/>
        <v>#DIV/0!</v>
      </c>
      <c r="T9" s="20" t="e">
        <f t="shared" si="16"/>
        <v>#DIV/0!</v>
      </c>
      <c r="U9" s="20" t="e">
        <f t="shared" si="16"/>
        <v>#DIV/0!</v>
      </c>
      <c r="V9" s="20" t="e">
        <f t="shared" si="16"/>
        <v>#DIV/0!</v>
      </c>
      <c r="W9" s="20" t="e">
        <f t="shared" si="16"/>
        <v>#DIV/0!</v>
      </c>
      <c r="AE9" s="27"/>
      <c r="AF9" s="37"/>
      <c r="AG9" s="28"/>
      <c r="AH9" s="1" t="s">
        <v>71</v>
      </c>
      <c r="AI9" s="35"/>
      <c r="AJ9" s="29">
        <f>$E$4*$E$17</f>
        <v>0</v>
      </c>
      <c r="AK9" s="29">
        <f t="shared" ref="AJ9:AU9" si="17">$E$4*$E$17</f>
        <v>0</v>
      </c>
      <c r="AL9" s="29">
        <f t="shared" si="17"/>
        <v>0</v>
      </c>
      <c r="AM9" s="29">
        <f t="shared" si="17"/>
        <v>0</v>
      </c>
      <c r="AN9" s="29">
        <f t="shared" si="17"/>
        <v>0</v>
      </c>
      <c r="AO9" s="29">
        <f t="shared" si="17"/>
        <v>0</v>
      </c>
      <c r="AP9" s="29">
        <f t="shared" si="17"/>
        <v>0</v>
      </c>
      <c r="AQ9" s="29">
        <f t="shared" si="17"/>
        <v>0</v>
      </c>
      <c r="AR9" s="29">
        <f t="shared" si="17"/>
        <v>0</v>
      </c>
      <c r="AS9" s="29">
        <f t="shared" si="17"/>
        <v>0</v>
      </c>
      <c r="AT9" s="29">
        <f t="shared" si="17"/>
        <v>0</v>
      </c>
      <c r="AU9" s="29">
        <f t="shared" si="17"/>
        <v>0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0</v>
      </c>
      <c r="BB9" s="29" cm="1">
        <f t="array" ref="BB9">_xlfn.LET(_xlpm.p,IF($AX$4="✔",$AZ$4,0),_xlpm.n,IF($AX$5="✔",$AZ$5,0),SUMPRODUCT($E$7:$N$7+BB$2*_xlpm.p,$E$8:$N$8,$E$9:$N$9+BB$2*_xlpm.n))</f>
        <v>0</v>
      </c>
      <c r="BC9" s="29" cm="1">
        <f t="array" ref="BC9">_xlfn.LET(_xlpm.p,IF($AX$4="✔",$AZ$4,0),_xlpm.n,IF($AX$5="✔",$AZ$5,0),SUMPRODUCT($E$7:$N$7+BC$2*_xlpm.p,$E$8:$N$8,$E$9:$N$9+BC$2*_xlpm.n))</f>
        <v>0</v>
      </c>
      <c r="BD9" s="29" cm="1">
        <f t="array" ref="BD9">_xlfn.LET(_xlpm.p,IF($AX$4="✔",$AZ$4,0),_xlpm.n,IF($AX$5="✔",$AZ$5,0),SUMPRODUCT($E$7:$N$7+BD$2*_xlpm.p,$E$8:$N$8,$E$9:$N$9+BD$2*_xlpm.n))</f>
        <v>0</v>
      </c>
      <c r="BE9" s="29" cm="1">
        <f t="array" ref="BE9">_xlfn.LET(_xlpm.p,IF($AX$4="✔",$AZ$4,0),_xlpm.n,IF($AX$5="✔",$AZ$5,0),SUMPRODUCT($E$7:$N$7+BE$2*_xlpm.p,$E$8:$N$8,$E$9:$N$9+BE$2*_xlpm.n))</f>
        <v>0</v>
      </c>
      <c r="BF9" s="29" cm="1">
        <f t="array" ref="BF9">(SUMPRODUCT($E$7:$N$7,$E$8:$N$8,$E$9:$N$9))</f>
        <v>0</v>
      </c>
      <c r="BG9" s="29" cm="1">
        <f t="array" ref="BG9">_xlfn.LET(_xlpm.p,IF($AX$4="✔",$AZ$4,0),_xlpm.n,IF($AX$5="✔",$AZ$5,0),SUMPRODUCT($E$7:$N$7+BG$2*_xlpm.p,$E$8:$N$8,$E$9:$N$9+BG$2*_xlpm.n))</f>
        <v>0</v>
      </c>
      <c r="BH9" s="29" cm="1">
        <f t="array" ref="BH9">_xlfn.LET(_xlpm.p,IF($AX$4="✔",$AZ$4,0),_xlpm.n,IF($AX$5="✔",$AZ$5,0),SUMPRODUCT($E$7:$N$7+BH$2*_xlpm.p,$E$8:$N$8,$E$9:$N$9+BH$2*_xlpm.n))</f>
        <v>0</v>
      </c>
      <c r="BI9" s="29" cm="1">
        <f t="array" ref="BI9">_xlfn.LET(_xlpm.p,IF($AX$4="✔",$AZ$4,0),_xlpm.n,IF($AX$5="✔",$AZ$5,0),SUMPRODUCT($E$7:$N$7+BI$2*_xlpm.p,$E$8:$N$8,$E$9:$N$9+BI$2*_xlpm.n))</f>
        <v>0</v>
      </c>
      <c r="BJ9" s="29" cm="1">
        <f t="array" ref="BJ9">_xlfn.LET(_xlpm.p,IF($AX$4="✔",$AZ$4,0),_xlpm.n,IF($AX$5="✔",$AZ$5,0),SUMPRODUCT($E$7:$N$7+BJ$2*_xlpm.p,$E$8:$N$8,$E$9:$N$9+BJ$2*_xlpm.n))</f>
        <v>0</v>
      </c>
      <c r="BK9" s="29" cm="1">
        <f t="array" ref="BK9">_xlfn.LET(_xlpm.p,IF($AX$4="✔",$AZ$4,0),_xlpm.n,IF($AX$5="✔",$AZ$5,0),SUMPRODUCT($E$7:$N$7+BK$2*_xlpm.p,$E$8:$N$8,$E$9:$N$9+BK$2*_xlpm.n))</f>
        <v>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95"/>
      <c r="F10" s="95"/>
      <c r="G10" s="95"/>
      <c r="H10" s="95"/>
      <c r="I10" s="95"/>
      <c r="J10" s="95"/>
      <c r="K10" s="95"/>
      <c r="L10" s="95"/>
      <c r="M10" s="95"/>
      <c r="N10" s="95"/>
      <c r="Q10" s="90" t="s">
        <v>29</v>
      </c>
      <c r="R10" s="20" t="e">
        <f t="shared" ref="R10:W10" si="18">R25/$E$4</f>
        <v>#DIV/0!</v>
      </c>
      <c r="S10" s="20" t="e">
        <f t="shared" si="18"/>
        <v>#DIV/0!</v>
      </c>
      <c r="T10" s="20" t="e">
        <f t="shared" si="18"/>
        <v>#DIV/0!</v>
      </c>
      <c r="U10" s="20" t="e">
        <f t="shared" si="18"/>
        <v>#DIV/0!</v>
      </c>
      <c r="V10" s="20" t="e">
        <f t="shared" si="18"/>
        <v>#DIV/0!</v>
      </c>
      <c r="W10" s="20" t="e">
        <f t="shared" si="18"/>
        <v>#DIV/0!</v>
      </c>
      <c r="AE10" s="27"/>
      <c r="AF10" s="37"/>
      <c r="AG10" s="28"/>
      <c r="AH10" s="1" t="s">
        <v>74</v>
      </c>
      <c r="AI10" s="35"/>
      <c r="AJ10" s="29">
        <f>$E$4*$E$18</f>
        <v>0</v>
      </c>
      <c r="AK10" s="29">
        <f t="shared" ref="AJ10:AU10" si="19">$E$4*$E$18</f>
        <v>0</v>
      </c>
      <c r="AL10" s="29">
        <f t="shared" si="19"/>
        <v>0</v>
      </c>
      <c r="AM10" s="29">
        <f t="shared" si="19"/>
        <v>0</v>
      </c>
      <c r="AN10" s="29">
        <f t="shared" si="19"/>
        <v>0</v>
      </c>
      <c r="AO10" s="29">
        <f t="shared" si="19"/>
        <v>0</v>
      </c>
      <c r="AP10" s="29">
        <f t="shared" si="19"/>
        <v>0</v>
      </c>
      <c r="AQ10" s="29">
        <f t="shared" si="19"/>
        <v>0</v>
      </c>
      <c r="AR10" s="29">
        <f t="shared" si="19"/>
        <v>0</v>
      </c>
      <c r="AS10" s="29">
        <f t="shared" si="19"/>
        <v>0</v>
      </c>
      <c r="AT10" s="29">
        <f t="shared" si="19"/>
        <v>0</v>
      </c>
      <c r="AU10" s="29">
        <f t="shared" si="19"/>
        <v>0</v>
      </c>
      <c r="AX10" s="44" t="s">
        <v>75</v>
      </c>
      <c r="AY10" s="44"/>
      <c r="AZ10" s="44"/>
      <c r="BA10" s="45">
        <f t="shared" ref="BA10:BE10" si="20">BA9</f>
        <v>0</v>
      </c>
      <c r="BB10" s="45">
        <f t="shared" si="20"/>
        <v>0</v>
      </c>
      <c r="BC10" s="45">
        <f t="shared" si="20"/>
        <v>0</v>
      </c>
      <c r="BD10" s="45">
        <f t="shared" si="20"/>
        <v>0</v>
      </c>
      <c r="BE10" s="45">
        <f t="shared" si="20"/>
        <v>0</v>
      </c>
      <c r="BF10" s="45">
        <f t="shared" ref="BF10:BK10" si="21">BF9</f>
        <v>0</v>
      </c>
      <c r="BG10" s="45">
        <f t="shared" si="21"/>
        <v>0</v>
      </c>
      <c r="BH10" s="45">
        <f t="shared" si="21"/>
        <v>0</v>
      </c>
      <c r="BI10" s="45">
        <f t="shared" si="21"/>
        <v>0</v>
      </c>
      <c r="BJ10" s="45">
        <f t="shared" si="21"/>
        <v>0</v>
      </c>
      <c r="BK10" s="45">
        <f t="shared" si="21"/>
        <v>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94">
        <v>0</v>
      </c>
      <c r="F11" s="94"/>
      <c r="G11" s="94"/>
      <c r="H11" s="94"/>
      <c r="I11" s="94"/>
      <c r="J11" s="94"/>
      <c r="K11" s="94"/>
      <c r="L11" s="94"/>
      <c r="M11" s="94"/>
      <c r="N11" s="94"/>
      <c r="Q11" s="90" t="s">
        <v>30</v>
      </c>
      <c r="R11" s="20" t="e">
        <f t="shared" ref="R11:W11" si="22">R26/$E$4</f>
        <v>#DIV/0!</v>
      </c>
      <c r="S11" s="20" t="e">
        <f t="shared" si="22"/>
        <v>#DIV/0!</v>
      </c>
      <c r="T11" s="20" t="e">
        <f t="shared" si="22"/>
        <v>#DIV/0!</v>
      </c>
      <c r="U11" s="20" t="e">
        <f t="shared" si="22"/>
        <v>#DIV/0!</v>
      </c>
      <c r="V11" s="20" t="e">
        <f t="shared" si="22"/>
        <v>#DIV/0!</v>
      </c>
      <c r="W11" s="20" t="e">
        <f t="shared" si="22"/>
        <v>#DIV/0!</v>
      </c>
      <c r="AE11" s="27"/>
      <c r="AF11" s="37"/>
      <c r="AG11" s="28"/>
      <c r="AH11" s="1" t="s">
        <v>78</v>
      </c>
      <c r="AI11" s="35"/>
      <c r="AJ11" s="29">
        <f>$E$4*$E$19</f>
        <v>0</v>
      </c>
      <c r="AK11" s="29">
        <f t="shared" ref="AJ11:AU11" si="23">$E$4*$E$19</f>
        <v>0</v>
      </c>
      <c r="AL11" s="29">
        <f t="shared" si="23"/>
        <v>0</v>
      </c>
      <c r="AM11" s="29">
        <f t="shared" si="23"/>
        <v>0</v>
      </c>
      <c r="AN11" s="29">
        <f t="shared" si="23"/>
        <v>0</v>
      </c>
      <c r="AO11" s="29">
        <f t="shared" si="23"/>
        <v>0</v>
      </c>
      <c r="AP11" s="29">
        <f t="shared" si="23"/>
        <v>0</v>
      </c>
      <c r="AQ11" s="29">
        <f t="shared" si="23"/>
        <v>0</v>
      </c>
      <c r="AR11" s="29">
        <f t="shared" si="23"/>
        <v>0</v>
      </c>
      <c r="AS11" s="29">
        <f t="shared" si="23"/>
        <v>0</v>
      </c>
      <c r="AT11" s="29">
        <f t="shared" si="23"/>
        <v>0</v>
      </c>
      <c r="AU11" s="29">
        <f t="shared" si="23"/>
        <v>0</v>
      </c>
      <c r="AX11" s="28" t="s">
        <v>14</v>
      </c>
      <c r="AY11" s="28"/>
      <c r="AZ11" s="35" t="s">
        <v>79</v>
      </c>
      <c r="BA11" s="29" t="e">
        <f t="shared" ref="BA11:BE11" si="24">IF($E$3="纯租赁",BA$6*12/$E$10,($E$11/$E$28+BA$6)*12/$E$10)</f>
        <v>#DIV/0!</v>
      </c>
      <c r="BB11" s="29" t="e">
        <f t="shared" si="24"/>
        <v>#DIV/0!</v>
      </c>
      <c r="BC11" s="29" t="e">
        <f t="shared" si="24"/>
        <v>#DIV/0!</v>
      </c>
      <c r="BD11" s="29" t="e">
        <f t="shared" si="24"/>
        <v>#DIV/0!</v>
      </c>
      <c r="BE11" s="29" t="e">
        <f t="shared" si="24"/>
        <v>#DIV/0!</v>
      </c>
      <c r="BF11" s="29" t="e">
        <f>IF($E$3="纯租赁",$E$13*12/$E$10,($E$11/$E$28+$E$13)*12/$E$10)</f>
        <v>#DIV/0!</v>
      </c>
      <c r="BG11" s="29" t="e">
        <f t="shared" ref="BG11:BK11" si="25">IF($E$3="纯租赁",BG$6*12/$E$10,($E$11/$E$28+BG$6)*12/$E$10)</f>
        <v>#DIV/0!</v>
      </c>
      <c r="BH11" s="29" t="e">
        <f t="shared" si="25"/>
        <v>#DIV/0!</v>
      </c>
      <c r="BI11" s="29" t="e">
        <f t="shared" si="25"/>
        <v>#DIV/0!</v>
      </c>
      <c r="BJ11" s="29" t="e">
        <f t="shared" si="25"/>
        <v>#DIV/0!</v>
      </c>
      <c r="BK11" s="29" t="e">
        <f t="shared" si="25"/>
        <v>#DIV/0!</v>
      </c>
    </row>
    <row r="12" spans="1:63">
      <c r="A12" s="15"/>
      <c r="B12" s="16" t="s">
        <v>80</v>
      </c>
      <c r="C12" s="17" t="s">
        <v>81</v>
      </c>
      <c r="D12" s="17"/>
      <c r="E12" s="95"/>
      <c r="F12" s="97"/>
      <c r="G12" s="97"/>
      <c r="H12" s="97"/>
      <c r="I12" s="97"/>
      <c r="J12" s="97"/>
      <c r="K12" s="97"/>
      <c r="L12" s="97"/>
      <c r="M12" s="97"/>
      <c r="N12" s="97"/>
      <c r="Q12" s="90" t="s">
        <v>31</v>
      </c>
      <c r="R12" s="20" t="e">
        <f t="shared" ref="R12:W12" si="26">R27/$E$4</f>
        <v>#DIV/0!</v>
      </c>
      <c r="S12" s="20" t="e">
        <f t="shared" si="26"/>
        <v>#DIV/0!</v>
      </c>
      <c r="T12" s="20" t="e">
        <f t="shared" si="26"/>
        <v>#DIV/0!</v>
      </c>
      <c r="U12" s="20" t="e">
        <f t="shared" si="26"/>
        <v>#DIV/0!</v>
      </c>
      <c r="V12" s="20" t="e">
        <f t="shared" si="26"/>
        <v>#DIV/0!</v>
      </c>
      <c r="W12" s="20" t="e">
        <f t="shared" si="26"/>
        <v>#DIV/0!</v>
      </c>
      <c r="AE12" s="27"/>
      <c r="AF12" s="37"/>
      <c r="AG12" s="28"/>
      <c r="AH12" s="1" t="s">
        <v>82</v>
      </c>
      <c r="AI12" s="35"/>
      <c r="AJ12" s="29">
        <f t="shared" ref="AJ12:AU12" si="27">$E$4*$E$20</f>
        <v>0</v>
      </c>
      <c r="AK12" s="29">
        <f t="shared" si="27"/>
        <v>0</v>
      </c>
      <c r="AL12" s="29">
        <f t="shared" si="27"/>
        <v>0</v>
      </c>
      <c r="AM12" s="29">
        <f t="shared" si="27"/>
        <v>0</v>
      </c>
      <c r="AN12" s="29">
        <f t="shared" si="27"/>
        <v>0</v>
      </c>
      <c r="AO12" s="29">
        <f t="shared" si="27"/>
        <v>0</v>
      </c>
      <c r="AP12" s="29">
        <f t="shared" si="27"/>
        <v>0</v>
      </c>
      <c r="AQ12" s="29">
        <f t="shared" si="27"/>
        <v>0</v>
      </c>
      <c r="AR12" s="29">
        <f t="shared" si="27"/>
        <v>0</v>
      </c>
      <c r="AS12" s="29">
        <f t="shared" si="27"/>
        <v>0</v>
      </c>
      <c r="AT12" s="29">
        <f t="shared" si="27"/>
        <v>0</v>
      </c>
      <c r="AU12" s="29">
        <f t="shared" si="27"/>
        <v>0</v>
      </c>
      <c r="AX12" s="28"/>
      <c r="AY12" s="28"/>
      <c r="AZ12" s="35" t="s">
        <v>61</v>
      </c>
      <c r="BA12" s="29" t="e">
        <f t="shared" ref="BA12:BK12" si="28">$E$14*12/$E$10</f>
        <v>#DIV/0!</v>
      </c>
      <c r="BB12" s="29" t="e">
        <f t="shared" si="28"/>
        <v>#DIV/0!</v>
      </c>
      <c r="BC12" s="29" t="e">
        <f t="shared" si="28"/>
        <v>#DIV/0!</v>
      </c>
      <c r="BD12" s="29" t="e">
        <f t="shared" si="28"/>
        <v>#DIV/0!</v>
      </c>
      <c r="BE12" s="29" t="e">
        <f t="shared" si="28"/>
        <v>#DIV/0!</v>
      </c>
      <c r="BF12" s="29" t="e">
        <f t="shared" si="28"/>
        <v>#DIV/0!</v>
      </c>
      <c r="BG12" s="29" t="e">
        <f t="shared" si="28"/>
        <v>#DIV/0!</v>
      </c>
      <c r="BH12" s="29" t="e">
        <f t="shared" si="28"/>
        <v>#DIV/0!</v>
      </c>
      <c r="BI12" s="29" t="e">
        <f t="shared" si="28"/>
        <v>#DIV/0!</v>
      </c>
      <c r="BJ12" s="29" t="e">
        <f t="shared" si="28"/>
        <v>#DIV/0!</v>
      </c>
      <c r="BK12" s="29" t="e">
        <f t="shared" si="28"/>
        <v>#DIV/0!</v>
      </c>
    </row>
    <row r="13" spans="1:63">
      <c r="A13" s="15"/>
      <c r="B13" s="46" t="s">
        <v>62</v>
      </c>
      <c r="C13" s="17" t="s">
        <v>83</v>
      </c>
      <c r="D13" s="17"/>
      <c r="E13" s="94"/>
      <c r="F13" s="94"/>
      <c r="G13" s="94"/>
      <c r="H13" s="94"/>
      <c r="I13" s="94"/>
      <c r="J13" s="94"/>
      <c r="K13" s="94"/>
      <c r="L13" s="94"/>
      <c r="M13" s="94"/>
      <c r="N13" s="94"/>
      <c r="Q13" s="48" t="s">
        <v>84</v>
      </c>
      <c r="R13" s="49" t="e">
        <f>SUM(R3:R12)</f>
        <v>#DIV/0!</v>
      </c>
      <c r="S13" s="49" t="e">
        <f>SUM(S3:S12)</f>
        <v>#DIV/0!</v>
      </c>
      <c r="T13" s="49" t="e">
        <f>SUM(T3:T12)</f>
        <v>#DIV/0!</v>
      </c>
      <c r="U13" s="49" t="e">
        <f>SUM(U3:U12)</f>
        <v>#DIV/0!</v>
      </c>
      <c r="V13" s="49" t="e">
        <f>SUM(V3:V12)</f>
        <v>#DIV/0!</v>
      </c>
      <c r="W13" s="49" t="e">
        <f>R13-S13-T13-U13-V13</f>
        <v>#DIV/0!</v>
      </c>
      <c r="AE13" s="27"/>
      <c r="AF13" s="37"/>
      <c r="AG13" s="22"/>
      <c r="AH13" s="50" t="s">
        <v>85</v>
      </c>
      <c r="AI13" s="23"/>
      <c r="AJ13" s="24">
        <f>$E$4*$E$21</f>
        <v>0</v>
      </c>
      <c r="AK13" s="24">
        <f t="shared" ref="AJ13:AU13" si="29">$E$4*$E$21</f>
        <v>0</v>
      </c>
      <c r="AL13" s="24">
        <f t="shared" si="29"/>
        <v>0</v>
      </c>
      <c r="AM13" s="24">
        <f t="shared" si="29"/>
        <v>0</v>
      </c>
      <c r="AN13" s="24">
        <f t="shared" si="29"/>
        <v>0</v>
      </c>
      <c r="AO13" s="24">
        <f t="shared" si="29"/>
        <v>0</v>
      </c>
      <c r="AP13" s="24">
        <f t="shared" si="29"/>
        <v>0</v>
      </c>
      <c r="AQ13" s="24">
        <f t="shared" si="29"/>
        <v>0</v>
      </c>
      <c r="AR13" s="24">
        <f t="shared" si="29"/>
        <v>0</v>
      </c>
      <c r="AS13" s="24">
        <f t="shared" si="29"/>
        <v>0</v>
      </c>
      <c r="AT13" s="24">
        <f t="shared" si="29"/>
        <v>0</v>
      </c>
      <c r="AU13" s="24">
        <f t="shared" si="29"/>
        <v>0</v>
      </c>
      <c r="AX13" s="28"/>
      <c r="AY13" s="28"/>
      <c r="AZ13" s="35" t="s">
        <v>64</v>
      </c>
      <c r="BA13" s="29" t="e">
        <f t="shared" ref="BA13:BE13" si="30">$E$15*12/$E$10</f>
        <v>#DIV/0!</v>
      </c>
      <c r="BB13" s="29" t="e">
        <f t="shared" si="30"/>
        <v>#DIV/0!</v>
      </c>
      <c r="BC13" s="29" t="e">
        <f t="shared" si="30"/>
        <v>#DIV/0!</v>
      </c>
      <c r="BD13" s="29" t="e">
        <f t="shared" si="30"/>
        <v>#DIV/0!</v>
      </c>
      <c r="BE13" s="29" t="e">
        <f t="shared" si="30"/>
        <v>#DIV/0!</v>
      </c>
      <c r="BF13" s="29" t="e">
        <f t="shared" ref="BF13:BK13" si="31">$E$15*12/$E$10</f>
        <v>#DIV/0!</v>
      </c>
      <c r="BG13" s="29" t="e">
        <f t="shared" si="31"/>
        <v>#DIV/0!</v>
      </c>
      <c r="BH13" s="29" t="e">
        <f t="shared" si="31"/>
        <v>#DIV/0!</v>
      </c>
      <c r="BI13" s="29" t="e">
        <f t="shared" si="31"/>
        <v>#DIV/0!</v>
      </c>
      <c r="BJ13" s="29" t="e">
        <f t="shared" si="31"/>
        <v>#DIV/0!</v>
      </c>
      <c r="BK13" s="29" t="e">
        <f t="shared" si="31"/>
        <v>#DIV/0!</v>
      </c>
    </row>
    <row r="14" spans="1:63">
      <c r="A14" s="15"/>
      <c r="B14" s="16" t="s">
        <v>86</v>
      </c>
      <c r="C14" s="17" t="s">
        <v>87</v>
      </c>
      <c r="D14" s="17"/>
      <c r="E14" s="95">
        <f>IF(E4&lt;30,2000,IF(E4&lt;50,1500,IF(E4&lt;100,1200,IF(E4&lt;200,1000,800))))</f>
        <v>2000</v>
      </c>
      <c r="F14" s="97"/>
      <c r="G14" s="97"/>
      <c r="H14" s="97"/>
      <c r="I14" s="97"/>
      <c r="J14" s="97"/>
      <c r="K14" s="97"/>
      <c r="L14" s="97"/>
      <c r="M14" s="97"/>
      <c r="N14" s="9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0</v>
      </c>
      <c r="AK14" s="29" cm="1">
        <f t="array" ref="AK14">IF(AK2&lt;=$E$10,$E$4*SUMPRODUCT($E$9:$N$9,$E$22:$N$22),0)</f>
        <v>0</v>
      </c>
      <c r="AL14" s="29" cm="1">
        <f t="array" ref="AL14">IF(AL2&lt;=$E$10,$E$4*SUMPRODUCT($E$9:$N$9,$E$22:$N$22),0)</f>
        <v>0</v>
      </c>
      <c r="AM14" s="29" cm="1">
        <f t="array" ref="AM14">IF(AM2&lt;=$E$10,$E$4*SUMPRODUCT($E$9:$N$9,$E$22:$N$22),0)</f>
        <v>0</v>
      </c>
      <c r="AN14" s="29" cm="1">
        <f t="array" ref="AN14">IF(AN2&lt;=$E$10,$E$4*SUMPRODUCT($E$9:$N$9,$E$22:$N$22),0)</f>
        <v>0</v>
      </c>
      <c r="AO14" s="29" cm="1">
        <f t="array" ref="AO14">IF(AO2&lt;=$E$10,$E$4*SUMPRODUCT($E$9:$N$9,$E$22:$N$22),0)</f>
        <v>0</v>
      </c>
      <c r="AP14" s="29" cm="1">
        <f t="array" ref="AP14">IF(AP2&lt;=$E$10,$E$4*SUMPRODUCT($E$9:$N$9,$E$22:$N$22),0)</f>
        <v>0</v>
      </c>
      <c r="AQ14" s="29" cm="1">
        <f t="array" ref="AQ14">IF(AQ2&lt;=$E$10,$E$4*SUMPRODUCT($E$9:$N$9,$E$22:$N$22),0)</f>
        <v>0</v>
      </c>
      <c r="AR14" s="29" cm="1">
        <f t="array" ref="AR14">IF(AR2&lt;=$E$10,$E$4*SUMPRODUCT($E$9:$N$9,$E$22:$N$22),0)</f>
        <v>0</v>
      </c>
      <c r="AS14" s="29" cm="1">
        <f t="array" ref="AS14">IF(AS2&lt;=$E$10,$E$4*SUMPRODUCT($E$9:$N$9,$E$22:$N$22),0)</f>
        <v>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 t="e">
        <f t="shared" ref="BA14:BE14" si="32">$E$16*12/$E$10</f>
        <v>#DIV/0!</v>
      </c>
      <c r="BB14" s="29" t="e">
        <f t="shared" si="32"/>
        <v>#DIV/0!</v>
      </c>
      <c r="BC14" s="29" t="e">
        <f t="shared" si="32"/>
        <v>#DIV/0!</v>
      </c>
      <c r="BD14" s="29" t="e">
        <f t="shared" si="32"/>
        <v>#DIV/0!</v>
      </c>
      <c r="BE14" s="29" t="e">
        <f t="shared" si="32"/>
        <v>#DIV/0!</v>
      </c>
      <c r="BF14" s="29" t="e">
        <f t="shared" ref="BF14:BK14" si="33">$E$16*12/$E$10</f>
        <v>#DIV/0!</v>
      </c>
      <c r="BG14" s="29" t="e">
        <f t="shared" si="33"/>
        <v>#DIV/0!</v>
      </c>
      <c r="BH14" s="29" t="e">
        <f t="shared" si="33"/>
        <v>#DIV/0!</v>
      </c>
      <c r="BI14" s="29" t="e">
        <f t="shared" si="33"/>
        <v>#DIV/0!</v>
      </c>
      <c r="BJ14" s="29" t="e">
        <f t="shared" si="33"/>
        <v>#DIV/0!</v>
      </c>
      <c r="BK14" s="29" t="e">
        <f t="shared" si="33"/>
        <v>#DIV/0!</v>
      </c>
    </row>
    <row r="15" spans="1:63">
      <c r="A15" s="15"/>
      <c r="B15" s="16" t="s">
        <v>89</v>
      </c>
      <c r="C15" s="17" t="s">
        <v>90</v>
      </c>
      <c r="D15" s="17"/>
      <c r="E15" s="95"/>
      <c r="F15" s="97"/>
      <c r="G15" s="97"/>
      <c r="H15" s="97"/>
      <c r="I15" s="97"/>
      <c r="J15" s="97"/>
      <c r="K15" s="97"/>
      <c r="L15" s="97"/>
      <c r="M15" s="97"/>
      <c r="N15" s="9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0</v>
      </c>
      <c r="AK15" s="29" cm="1">
        <f t="array" ref="AK15">IF(AK2&lt;=$E$10,$E$4*SUMPRODUCT($E$23:$N$23,$E$9:$N$9),0)</f>
        <v>0</v>
      </c>
      <c r="AL15" s="29" cm="1">
        <f t="array" ref="AL15">IF(AL2&lt;=$E$10,$E$4*SUMPRODUCT($E$23:$N$23,$E$9:$N$9),0)</f>
        <v>0</v>
      </c>
      <c r="AM15" s="29" cm="1">
        <f t="array" ref="AM15">IF(AM2&lt;=$E$10,$E$4*SUMPRODUCT($E$23:$N$23,$E$9:$N$9),0)</f>
        <v>0</v>
      </c>
      <c r="AN15" s="29" cm="1">
        <f t="array" ref="AN15">IF(AN2&lt;=$E$10,$E$4*SUMPRODUCT($E$23:$N$23,$E$9:$N$9),0)</f>
        <v>0</v>
      </c>
      <c r="AO15" s="29" cm="1">
        <f t="array" ref="AO15">IF(AO2&lt;=$E$10,$E$4*SUMPRODUCT($E$23:$N$23,$E$9:$N$9),0)</f>
        <v>0</v>
      </c>
      <c r="AP15" s="29" cm="1">
        <f t="array" ref="AP15">IF(AP2&lt;=$E$10,$E$4*SUMPRODUCT($E$23:$N$23,$E$9:$N$9),0)</f>
        <v>0</v>
      </c>
      <c r="AQ15" s="29" cm="1">
        <f t="array" ref="AQ15">IF(AQ2&lt;=$E$10,$E$4*SUMPRODUCT($E$23:$N$23,$E$9:$N$9),0)</f>
        <v>0</v>
      </c>
      <c r="AR15" s="29" cm="1">
        <f t="array" ref="AR15">IF(AR2&lt;=$E$10,$E$4*SUMPRODUCT($E$23:$N$23,$E$9:$N$9),0)</f>
        <v>0</v>
      </c>
      <c r="AS15" s="29" cm="1">
        <f t="array" ref="AS15">IF(AS2&lt;=$E$10,$E$4*SUMPRODUCT($E$23:$N$23,$E$9:$N$9),0)</f>
        <v>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 t="e">
        <f t="shared" ref="BA15:BE15" si="34">$E$17*12/$E$10</f>
        <v>#DIV/0!</v>
      </c>
      <c r="BB15" s="29" t="e">
        <f t="shared" si="34"/>
        <v>#DIV/0!</v>
      </c>
      <c r="BC15" s="29" t="e">
        <f t="shared" si="34"/>
        <v>#DIV/0!</v>
      </c>
      <c r="BD15" s="29" t="e">
        <f t="shared" si="34"/>
        <v>#DIV/0!</v>
      </c>
      <c r="BE15" s="29" t="e">
        <f t="shared" si="34"/>
        <v>#DIV/0!</v>
      </c>
      <c r="BF15" s="29" t="e">
        <f t="shared" ref="BF15:BK15" si="35">$E$17*12/$E$10</f>
        <v>#DIV/0!</v>
      </c>
      <c r="BG15" s="29" t="e">
        <f t="shared" si="35"/>
        <v>#DIV/0!</v>
      </c>
      <c r="BH15" s="29" t="e">
        <f t="shared" si="35"/>
        <v>#DIV/0!</v>
      </c>
      <c r="BI15" s="29" t="e">
        <f t="shared" si="35"/>
        <v>#DIV/0!</v>
      </c>
      <c r="BJ15" s="29" t="e">
        <f t="shared" si="35"/>
        <v>#DIV/0!</v>
      </c>
      <c r="BK15" s="29" t="e">
        <f t="shared" si="35"/>
        <v>#DIV/0!</v>
      </c>
    </row>
    <row r="16" spans="1:63">
      <c r="A16" s="15"/>
      <c r="B16" s="16" t="s">
        <v>92</v>
      </c>
      <c r="C16" s="17" t="s">
        <v>93</v>
      </c>
      <c r="D16" s="17"/>
      <c r="E16" s="95"/>
      <c r="F16" s="97"/>
      <c r="G16" s="97"/>
      <c r="H16" s="97"/>
      <c r="I16" s="97"/>
      <c r="J16" s="97"/>
      <c r="K16" s="97"/>
      <c r="L16" s="97"/>
      <c r="M16" s="97"/>
      <c r="N16" s="9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 t="e">
        <f t="shared" ref="BA16:BE16" si="36">$E$18*12/$E$10</f>
        <v>#DIV/0!</v>
      </c>
      <c r="BB16" s="29" t="e">
        <f t="shared" si="36"/>
        <v>#DIV/0!</v>
      </c>
      <c r="BC16" s="29" t="e">
        <f t="shared" si="36"/>
        <v>#DIV/0!</v>
      </c>
      <c r="BD16" s="29" t="e">
        <f t="shared" si="36"/>
        <v>#DIV/0!</v>
      </c>
      <c r="BE16" s="29" t="e">
        <f t="shared" si="36"/>
        <v>#DIV/0!</v>
      </c>
      <c r="BF16" s="29" t="e">
        <f t="shared" ref="BF16:BK16" si="37">$E$18*12/$E$10</f>
        <v>#DIV/0!</v>
      </c>
      <c r="BG16" s="29" t="e">
        <f t="shared" si="37"/>
        <v>#DIV/0!</v>
      </c>
      <c r="BH16" s="29" t="e">
        <f t="shared" si="37"/>
        <v>#DIV/0!</v>
      </c>
      <c r="BI16" s="29" t="e">
        <f t="shared" si="37"/>
        <v>#DIV/0!</v>
      </c>
      <c r="BJ16" s="29" t="e">
        <f t="shared" si="37"/>
        <v>#DIV/0!</v>
      </c>
      <c r="BK16" s="29" t="e">
        <f t="shared" si="37"/>
        <v>#DIV/0!</v>
      </c>
    </row>
    <row r="17" spans="1:63">
      <c r="A17" s="15"/>
      <c r="B17" s="16" t="s">
        <v>95</v>
      </c>
      <c r="C17" s="17" t="s">
        <v>96</v>
      </c>
      <c r="D17" s="17"/>
      <c r="E17" s="95">
        <f>4000/12</f>
        <v>333.333333333333</v>
      </c>
      <c r="F17" s="97"/>
      <c r="G17" s="97"/>
      <c r="H17" s="97"/>
      <c r="I17" s="97"/>
      <c r="J17" s="97"/>
      <c r="K17" s="97"/>
      <c r="L17" s="97"/>
      <c r="M17" s="97"/>
      <c r="N17" s="9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0</v>
      </c>
      <c r="AK17" s="29" cm="1">
        <f t="array" ref="AK17">IF(AK2&lt;=$E$10,$E$4*SUMPRODUCT($E$9:$N$9,$E$25:$N$25),0)</f>
        <v>0</v>
      </c>
      <c r="AL17" s="29" cm="1">
        <f t="array" ref="AL17">IF(AL2&lt;=$E$10,$E$4*SUMPRODUCT($E$9:$N$9,$E$25:$N$25),0)</f>
        <v>0</v>
      </c>
      <c r="AM17" s="29" cm="1">
        <f t="array" ref="AM17">IF(AM2&lt;=$E$10,$E$4*SUMPRODUCT($E$9:$N$9,$E$25:$N$25),0)</f>
        <v>0</v>
      </c>
      <c r="AN17" s="29" cm="1">
        <f t="array" ref="AN17">IF(AN2&lt;=$E$10,$E$4*SUMPRODUCT($E$9:$N$9,$E$25:$N$25),0)</f>
        <v>0</v>
      </c>
      <c r="AO17" s="29" cm="1">
        <f t="array" ref="AO17">IF(AO2&lt;=$E$10,$E$4*SUMPRODUCT($E$9:$N$9,$E$25:$N$25),0)</f>
        <v>0</v>
      </c>
      <c r="AP17" s="29" cm="1">
        <f t="array" ref="AP17">IF(AP2&lt;=$E$10,$E$4*SUMPRODUCT($E$9:$N$9,$E$25:$N$25),0)</f>
        <v>0</v>
      </c>
      <c r="AQ17" s="29" cm="1">
        <f t="array" ref="AQ17">IF(AQ2&lt;=$E$10,$E$4*SUMPRODUCT($E$9:$N$9,$E$25:$N$25),0)</f>
        <v>0</v>
      </c>
      <c r="AR17" s="29" cm="1">
        <f t="array" ref="AR17">IF(AR2&lt;=$E$10,$E$4*SUMPRODUCT($E$9:$N$9,$E$25:$N$25),0)</f>
        <v>0</v>
      </c>
      <c r="AS17" s="29" cm="1">
        <f t="array" ref="AS17">IF(AS2&lt;=$E$10,$E$4*SUMPRODUCT($E$9:$N$9,$E$25:$N$25),0)</f>
        <v>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 t="e">
        <f t="shared" ref="BA17:BE17" si="38">$E$19*12/$E$10</f>
        <v>#DIV/0!</v>
      </c>
      <c r="BB17" s="29" t="e">
        <f t="shared" si="38"/>
        <v>#DIV/0!</v>
      </c>
      <c r="BC17" s="29" t="e">
        <f t="shared" si="38"/>
        <v>#DIV/0!</v>
      </c>
      <c r="BD17" s="29" t="e">
        <f t="shared" si="38"/>
        <v>#DIV/0!</v>
      </c>
      <c r="BE17" s="29" t="e">
        <f t="shared" si="38"/>
        <v>#DIV/0!</v>
      </c>
      <c r="BF17" s="29" t="e">
        <f t="shared" ref="BF17:BK17" si="39">$E$19*12/$E$10</f>
        <v>#DIV/0!</v>
      </c>
      <c r="BG17" s="29" t="e">
        <f t="shared" si="39"/>
        <v>#DIV/0!</v>
      </c>
      <c r="BH17" s="29" t="e">
        <f t="shared" si="39"/>
        <v>#DIV/0!</v>
      </c>
      <c r="BI17" s="29" t="e">
        <f t="shared" si="39"/>
        <v>#DIV/0!</v>
      </c>
      <c r="BJ17" s="29" t="e">
        <f t="shared" si="39"/>
        <v>#DIV/0!</v>
      </c>
      <c r="BK17" s="29" t="e">
        <f t="shared" si="39"/>
        <v>#DIV/0!</v>
      </c>
    </row>
    <row r="18" spans="1:63">
      <c r="A18" s="15"/>
      <c r="B18" s="16" t="s">
        <v>98</v>
      </c>
      <c r="C18" s="17" t="s">
        <v>99</v>
      </c>
      <c r="D18" s="17"/>
      <c r="E18" s="95"/>
      <c r="F18" s="97"/>
      <c r="G18" s="97"/>
      <c r="H18" s="97"/>
      <c r="I18" s="97"/>
      <c r="J18" s="97"/>
      <c r="K18" s="97"/>
      <c r="L18" s="97"/>
      <c r="M18" s="97"/>
      <c r="N18" s="97"/>
      <c r="Q18" s="90" t="s">
        <v>20</v>
      </c>
      <c r="R18" s="20">
        <f>$E$4*$E$7*$E$8*$E$9</f>
        <v>0</v>
      </c>
      <c r="S18" s="51" t="e">
        <f>SUM($S$41:$S$49)</f>
        <v>#DIV/0!</v>
      </c>
      <c r="T18" s="51" t="e">
        <f>SUM($S$50:$S$55)</f>
        <v>#DIV/0!</v>
      </c>
      <c r="U18" s="51" t="e">
        <f>SUM($S$56:$S$57)</f>
        <v>#DIV/0!</v>
      </c>
      <c r="V18" s="29" t="e">
        <f>MAX(0,S58-S59)</f>
        <v>#DIV/0!</v>
      </c>
      <c r="W18" s="51" t="e">
        <f t="shared" ref="W18:W28" si="40">R18-S18-T18-U18-V18</f>
        <v>#DIV/0!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0</v>
      </c>
      <c r="AK18" s="29" cm="1">
        <f t="array" ref="AK18">IF(AK2&lt;=$E$10,$E$4*$E$5*SUMPRODUCT(IF($E$8:$N$8,$E$32,$E$33),$E$6:$N$6,$E$9:$N$9),0)</f>
        <v>0</v>
      </c>
      <c r="AL18" s="29" cm="1">
        <f t="array" ref="AL18">IF(AL2&lt;=$E$10,$E$4*$E$5*SUMPRODUCT(IF($E$8:$N$8,$E$32,$E$33),$E$6:$N$6,$E$9:$N$9),0)</f>
        <v>0</v>
      </c>
      <c r="AM18" s="29" cm="1">
        <f t="array" ref="AM18">IF(AM2&lt;=$E$10,$E$4*$E$5*SUMPRODUCT(IF($E$8:$N$8,$E$32,$E$33),$E$6:$N$6,$E$9:$N$9),0)</f>
        <v>0</v>
      </c>
      <c r="AN18" s="29" cm="1">
        <f t="array" ref="AN18">IF(AN2&lt;=$E$10,$E$4*$E$5*SUMPRODUCT(IF($E$8:$N$8,$E$32,$E$33),$E$6:$N$6,$E$9:$N$9),0)</f>
        <v>0</v>
      </c>
      <c r="AO18" s="29" cm="1">
        <f t="array" ref="AO18">IF(AO2&lt;=$E$10,$E$4*$E$5*SUMPRODUCT(IF($E$8:$N$8,$E$32,$E$33),$E$6:$N$6,$E$9:$N$9),0)</f>
        <v>0</v>
      </c>
      <c r="AP18" s="29" cm="1">
        <f t="array" ref="AP18">IF(AP2&lt;=$E$10,$E$4*$E$5*SUMPRODUCT(IF($E$8:$N$8,$E$32,$E$33),$E$6:$N$6,$E$9:$N$9),0)</f>
        <v>0</v>
      </c>
      <c r="AQ18" s="29" cm="1">
        <f t="array" ref="AQ18">IF(AQ2&lt;=$E$10,$E$4*$E$5*SUMPRODUCT(IF($E$8:$N$8,$E$32,$E$33),$E$6:$N$6,$E$9:$N$9),0)</f>
        <v>0</v>
      </c>
      <c r="AR18" s="29" cm="1">
        <f t="array" ref="AR18">IF(AR2&lt;=$E$10,$E$4*$E$5*SUMPRODUCT(IF($E$8:$N$8,$E$32,$E$33),$E$6:$N$6,$E$9:$N$9),0)</f>
        <v>0</v>
      </c>
      <c r="AS18" s="29" cm="1">
        <f t="array" ref="AS18">IF(AS2&lt;=$E$10,$E$4*$E$5*SUMPRODUCT(IF($E$8:$N$8,$E$32,$E$33),$E$6:$N$6,$E$9:$N$9),0)</f>
        <v>0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 t="e">
        <f t="shared" ref="BA18:BE18" si="41">$E$20*12/$E$10</f>
        <v>#DIV/0!</v>
      </c>
      <c r="BB18" s="29" t="e">
        <f t="shared" si="41"/>
        <v>#DIV/0!</v>
      </c>
      <c r="BC18" s="29" t="e">
        <f t="shared" si="41"/>
        <v>#DIV/0!</v>
      </c>
      <c r="BD18" s="29" t="e">
        <f t="shared" si="41"/>
        <v>#DIV/0!</v>
      </c>
      <c r="BE18" s="29" t="e">
        <f t="shared" si="41"/>
        <v>#DIV/0!</v>
      </c>
      <c r="BF18" s="29" t="e">
        <f t="shared" ref="BF18:BK18" si="42">$E$20*12/$E$10</f>
        <v>#DIV/0!</v>
      </c>
      <c r="BG18" s="29" t="e">
        <f t="shared" si="42"/>
        <v>#DIV/0!</v>
      </c>
      <c r="BH18" s="29" t="e">
        <f t="shared" si="42"/>
        <v>#DIV/0!</v>
      </c>
      <c r="BI18" s="29" t="e">
        <f t="shared" si="42"/>
        <v>#DIV/0!</v>
      </c>
      <c r="BJ18" s="29" t="e">
        <f t="shared" si="42"/>
        <v>#DIV/0!</v>
      </c>
      <c r="BK18" s="29" t="e">
        <f t="shared" si="42"/>
        <v>#DIV/0!</v>
      </c>
    </row>
    <row r="19" spans="1:63">
      <c r="A19" s="15"/>
      <c r="B19" s="16" t="s">
        <v>101</v>
      </c>
      <c r="C19" s="17" t="s">
        <v>102</v>
      </c>
      <c r="D19" s="17"/>
      <c r="E19" s="95"/>
      <c r="F19" s="97"/>
      <c r="G19" s="97"/>
      <c r="H19" s="97"/>
      <c r="I19" s="97"/>
      <c r="J19" s="97"/>
      <c r="K19" s="97"/>
      <c r="L19" s="97"/>
      <c r="M19" s="97"/>
      <c r="N19" s="97"/>
      <c r="Q19" s="90" t="s">
        <v>22</v>
      </c>
      <c r="R19" s="20">
        <f>$E$4*$F$7*$F$8*$F$9</f>
        <v>0</v>
      </c>
      <c r="S19" s="51" t="e">
        <f>SUM($T$41:$T$49)</f>
        <v>#DIV/0!</v>
      </c>
      <c r="T19" s="51" t="e">
        <f>SUM($T$50:$T$55)</f>
        <v>#DIV/0!</v>
      </c>
      <c r="U19" s="51" t="e">
        <f>SUM($T$56:$T$57)</f>
        <v>#DIV/0!</v>
      </c>
      <c r="V19" s="29" t="e">
        <f>MAX(0,T58-T59)</f>
        <v>#DIV/0!</v>
      </c>
      <c r="W19" s="51" t="e">
        <f t="shared" si="40"/>
        <v>#DIV/0!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0</v>
      </c>
      <c r="AK19" s="24" cm="1">
        <f t="array" ref="AK19">IF(AK2&lt;=$E$10,SUMPRODUCT($E$6:$N$6,$E$9:$N$9)/$E$29*$E$30*$E$4*$E$31,0)</f>
        <v>0</v>
      </c>
      <c r="AL19" s="24" cm="1">
        <f t="array" ref="AL19">IF(AL2&lt;=$E$10,SUMPRODUCT($E$6:$N$6,$E$9:$N$9)/$E$29*$E$30*$E$4*$E$31,0)</f>
        <v>0</v>
      </c>
      <c r="AM19" s="24" cm="1">
        <f t="array" ref="AM19">IF(AM2&lt;=$E$10,SUMPRODUCT($E$6:$N$6,$E$9:$N$9)/$E$29*$E$30*$E$4*$E$31,0)</f>
        <v>0</v>
      </c>
      <c r="AN19" s="24" cm="1">
        <f t="array" ref="AN19">IF(AN2&lt;=$E$10,SUMPRODUCT($E$6:$N$6,$E$9:$N$9)/$E$29*$E$30*$E$4*$E$31,0)</f>
        <v>0</v>
      </c>
      <c r="AO19" s="24" cm="1">
        <f t="array" ref="AO19">IF(AO2&lt;=$E$10,SUMPRODUCT($E$6:$N$6,$E$9:$N$9)/$E$29*$E$30*$E$4*$E$31,0)</f>
        <v>0</v>
      </c>
      <c r="AP19" s="24" cm="1">
        <f t="array" ref="AP19">IF(AP2&lt;=$E$10,SUMPRODUCT($E$6:$N$6,$E$9:$N$9)/$E$29*$E$30*$E$4*$E$31,0)</f>
        <v>0</v>
      </c>
      <c r="AQ19" s="24" cm="1">
        <f t="array" ref="AQ19">IF(AQ2&lt;=$E$10,SUMPRODUCT($E$6:$N$6,$E$9:$N$9)/$E$29*$E$30*$E$4*$E$31,0)</f>
        <v>0</v>
      </c>
      <c r="AR19" s="24" cm="1">
        <f t="array" ref="AR19">IF(AR2&lt;=$E$10,SUMPRODUCT($E$6:$N$6,$E$9:$N$9)/$E$29*$E$30*$E$4*$E$31,0)</f>
        <v>0</v>
      </c>
      <c r="AS19" s="24" cm="1">
        <f t="array" ref="AS19">IF(AS2&lt;=$E$10,SUMPRODUCT($E$6:$N$6,$E$9:$N$9)/$E$29*$E$30*$E$4*$E$31,0)</f>
        <v>0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 t="e">
        <f t="shared" ref="BA19:BE19" si="43">$E$21*12/$E$10</f>
        <v>#DIV/0!</v>
      </c>
      <c r="BB19" s="24" t="e">
        <f t="shared" si="43"/>
        <v>#DIV/0!</v>
      </c>
      <c r="BC19" s="24" t="e">
        <f t="shared" si="43"/>
        <v>#DIV/0!</v>
      </c>
      <c r="BD19" s="24" t="e">
        <f t="shared" si="43"/>
        <v>#DIV/0!</v>
      </c>
      <c r="BE19" s="24" t="e">
        <f t="shared" si="43"/>
        <v>#DIV/0!</v>
      </c>
      <c r="BF19" s="24" t="e">
        <f t="shared" ref="BF19:BK19" si="44">$E$21*12/$E$10</f>
        <v>#DIV/0!</v>
      </c>
      <c r="BG19" s="24" t="e">
        <f t="shared" si="44"/>
        <v>#DIV/0!</v>
      </c>
      <c r="BH19" s="24" t="e">
        <f t="shared" si="44"/>
        <v>#DIV/0!</v>
      </c>
      <c r="BI19" s="24" t="e">
        <f t="shared" si="44"/>
        <v>#DIV/0!</v>
      </c>
      <c r="BJ19" s="24" t="e">
        <f t="shared" si="44"/>
        <v>#DIV/0!</v>
      </c>
      <c r="BK19" s="24" t="e">
        <f t="shared" si="44"/>
        <v>#DIV/0!</v>
      </c>
    </row>
    <row r="20" spans="1:63">
      <c r="A20" s="15"/>
      <c r="B20" s="16" t="s">
        <v>104</v>
      </c>
      <c r="C20" s="17" t="s">
        <v>105</v>
      </c>
      <c r="D20" s="17"/>
      <c r="E20" s="95">
        <f>4000/12</f>
        <v>333.333333333333</v>
      </c>
      <c r="F20" s="95"/>
      <c r="G20" s="95"/>
      <c r="H20" s="95"/>
      <c r="I20" s="95"/>
      <c r="J20" s="95"/>
      <c r="K20" s="95"/>
      <c r="L20" s="95"/>
      <c r="M20" s="95"/>
      <c r="N20" s="95"/>
      <c r="Q20" s="90" t="s">
        <v>24</v>
      </c>
      <c r="R20" s="20">
        <f>$E$4*$G$7*$G$8*$G$9</f>
        <v>0</v>
      </c>
      <c r="S20" s="51" t="e">
        <f>SUM($U$41:$U$49)</f>
        <v>#DIV/0!</v>
      </c>
      <c r="T20" s="51" t="e">
        <f>SUM($U$50:$U$55)</f>
        <v>#DIV/0!</v>
      </c>
      <c r="U20" s="51" t="e">
        <f>SUM($U$56:$U$57)</f>
        <v>#DIV/0!</v>
      </c>
      <c r="V20" s="29" t="e">
        <f>MAX(0,U58-U59)</f>
        <v>#DIV/0!</v>
      </c>
      <c r="W20" s="51" t="e">
        <f t="shared" si="40"/>
        <v>#DIV/0!</v>
      </c>
      <c r="AE20" s="27"/>
      <c r="AF20" s="37"/>
      <c r="AG20" s="28" t="s">
        <v>16</v>
      </c>
      <c r="AH20" s="1" t="s">
        <v>106</v>
      </c>
      <c r="AI20" s="35"/>
      <c r="AJ20" s="29">
        <f>AJ3*$E$34/12*$E$26</f>
        <v>0</v>
      </c>
      <c r="AK20" s="29">
        <f t="shared" ref="AJ20:AU20" si="45">AK3*$E$34/12*$E$26</f>
        <v>0</v>
      </c>
      <c r="AL20" s="29">
        <f t="shared" si="45"/>
        <v>0</v>
      </c>
      <c r="AM20" s="29">
        <f t="shared" si="45"/>
        <v>0</v>
      </c>
      <c r="AN20" s="29">
        <f t="shared" si="45"/>
        <v>0</v>
      </c>
      <c r="AO20" s="29">
        <f t="shared" si="45"/>
        <v>0</v>
      </c>
      <c r="AP20" s="29">
        <f t="shared" si="45"/>
        <v>0</v>
      </c>
      <c r="AQ20" s="29">
        <f t="shared" si="45"/>
        <v>0</v>
      </c>
      <c r="AR20" s="29">
        <f t="shared" si="45"/>
        <v>0</v>
      </c>
      <c r="AS20" s="29">
        <f t="shared" si="45"/>
        <v>0</v>
      </c>
      <c r="AT20" s="29">
        <f t="shared" si="45"/>
        <v>0</v>
      </c>
      <c r="AU20" s="29">
        <f t="shared" si="45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0</v>
      </c>
      <c r="BB20" s="29" cm="1">
        <f t="array" ref="BB20">_xlfn.LET(_xlpm.n,IF($AX$5="✔",$AZ$5,0),SUMPRODUCT($E$9:$N$9+BB$2*_xlpm.n,$E$22:$N$22))</f>
        <v>0</v>
      </c>
      <c r="BC20" s="29" cm="1">
        <f t="array" ref="BC20">_xlfn.LET(_xlpm.n,IF($AX$5="✔",$AZ$5,0),SUMPRODUCT($E$9:$N$9+BC$2*_xlpm.n,$E$22:$N$22))</f>
        <v>0</v>
      </c>
      <c r="BD20" s="29" cm="1">
        <f t="array" ref="BD20">_xlfn.LET(_xlpm.n,IF($AX$5="✔",$AZ$5,0),SUMPRODUCT($E$9:$N$9+BD$2*_xlpm.n,$E$22:$N$22))</f>
        <v>0</v>
      </c>
      <c r="BE20" s="29" cm="1">
        <f t="array" ref="BE20">_xlfn.LET(_xlpm.n,IF($AX$5="✔",$AZ$5,0),SUMPRODUCT($E$9:$N$9+BE$2*_xlpm.n,$E$22:$N$22))</f>
        <v>0</v>
      </c>
      <c r="BF20" s="29" cm="1">
        <f t="array" ref="BF20">SUMPRODUCT($E$9:$N$9,$E$22:$N$22)</f>
        <v>0</v>
      </c>
      <c r="BG20" s="29" cm="1">
        <f t="array" ref="BG20">_xlfn.LET(_xlpm.n,IF($AX$5="✔",$AZ$5,0),SUMPRODUCT($E$9:$N$9+BG$2*_xlpm.n,$E$22:$N$22))</f>
        <v>0</v>
      </c>
      <c r="BH20" s="29" cm="1">
        <f t="array" ref="BH20">_xlfn.LET(_xlpm.n,IF($AX$5="✔",$AZ$5,0),SUMPRODUCT($E$9:$N$9+BH$2*_xlpm.n,$E$22:$N$22))</f>
        <v>0</v>
      </c>
      <c r="BI20" s="29" cm="1">
        <f t="array" ref="BI20">_xlfn.LET(_xlpm.n,IF($AX$5="✔",$AZ$5,0),SUMPRODUCT($E$9:$N$9+BI$2*_xlpm.n,$E$22:$N$22))</f>
        <v>0</v>
      </c>
      <c r="BJ20" s="29" cm="1">
        <f t="array" ref="BJ20">_xlfn.LET(_xlpm.n,IF($AX$5="✔",$AZ$5,0),SUMPRODUCT($E$9:$N$9+BJ$2*_xlpm.n,$E$22:$N$22))</f>
        <v>0</v>
      </c>
      <c r="BK20" s="29" cm="1">
        <f t="array" ref="BK20">_xlfn.LET(_xlpm.n,IF($AX$5="✔",$AZ$5,0),SUMPRODUCT($E$9:$N$9+BK$2*_xlpm.n,$E$22:$N$22))</f>
        <v>0</v>
      </c>
    </row>
    <row r="21" spans="1:63">
      <c r="A21" s="15"/>
      <c r="B21" s="16" t="s">
        <v>107</v>
      </c>
      <c r="C21" s="17" t="s">
        <v>108</v>
      </c>
      <c r="D21" s="17"/>
      <c r="E21" s="95">
        <v>200</v>
      </c>
      <c r="F21" s="95"/>
      <c r="G21" s="95"/>
      <c r="H21" s="95"/>
      <c r="I21" s="95"/>
      <c r="J21" s="95"/>
      <c r="K21" s="95"/>
      <c r="L21" s="95"/>
      <c r="M21" s="95"/>
      <c r="N21" s="95"/>
      <c r="Q21" s="90" t="s">
        <v>25</v>
      </c>
      <c r="R21" s="20">
        <f>$E$4*$H$7*$H$8*$H$9</f>
        <v>0</v>
      </c>
      <c r="S21" s="51" t="e">
        <f>SUM($V$41:$V$49)</f>
        <v>#DIV/0!</v>
      </c>
      <c r="T21" s="51" t="e">
        <f>SUM($V$50:$V$55)</f>
        <v>#DIV/0!</v>
      </c>
      <c r="U21" s="51" t="e">
        <f>SUM($V$56:$V$57)</f>
        <v>#DIV/0!</v>
      </c>
      <c r="V21" s="29" t="e">
        <f>MAX(0,V58-V59)</f>
        <v>#DIV/0!</v>
      </c>
      <c r="W21" s="51" t="e">
        <f t="shared" si="40"/>
        <v>#DIV/0!</v>
      </c>
      <c r="AE21" s="27"/>
      <c r="AF21" s="27"/>
      <c r="AG21" s="28"/>
      <c r="AH21" s="1" t="s">
        <v>109</v>
      </c>
      <c r="AI21" s="35"/>
      <c r="AJ21" s="29">
        <f>SUM(AJ5:AJ19)*$E$35/12*$E$27</f>
        <v>0</v>
      </c>
      <c r="AK21" s="29">
        <f t="shared" ref="AJ21:AU21" si="46">SUM(AK5:AK19)*$E$35/12*$E$27</f>
        <v>0</v>
      </c>
      <c r="AL21" s="29">
        <f t="shared" si="46"/>
        <v>0</v>
      </c>
      <c r="AM21" s="29">
        <f t="shared" si="46"/>
        <v>0</v>
      </c>
      <c r="AN21" s="29">
        <f t="shared" si="46"/>
        <v>0</v>
      </c>
      <c r="AO21" s="29">
        <f t="shared" si="46"/>
        <v>0</v>
      </c>
      <c r="AP21" s="29">
        <f t="shared" si="46"/>
        <v>0</v>
      </c>
      <c r="AQ21" s="29">
        <f t="shared" si="46"/>
        <v>0</v>
      </c>
      <c r="AR21" s="29">
        <f t="shared" si="46"/>
        <v>0</v>
      </c>
      <c r="AS21" s="29">
        <f t="shared" si="46"/>
        <v>0</v>
      </c>
      <c r="AT21" s="29">
        <f t="shared" si="46"/>
        <v>0</v>
      </c>
      <c r="AU21" s="29">
        <f t="shared" si="46"/>
        <v>0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0</v>
      </c>
      <c r="BB21" s="29" cm="1">
        <f t="array" ref="BB21">_xlfn.LET(_xlpm.n,IF($AX$5="✔",$AZ$5,0),SUMPRODUCT($E$9:$N$9+BB$2*_xlpm.n,$E$23:$N$23))</f>
        <v>0</v>
      </c>
      <c r="BC21" s="29" cm="1">
        <f t="array" ref="BC21">_xlfn.LET(_xlpm.n,IF($AX$5="✔",$AZ$5,0),SUMPRODUCT($E$9:$N$9+BC$2*_xlpm.n,$E$23:$N$23))</f>
        <v>0</v>
      </c>
      <c r="BD21" s="29" cm="1">
        <f t="array" ref="BD21">_xlfn.LET(_xlpm.n,IF($AX$5="✔",$AZ$5,0),SUMPRODUCT($E$9:$N$9+BD$2*_xlpm.n,$E$23:$N$23))</f>
        <v>0</v>
      </c>
      <c r="BE21" s="29" cm="1">
        <f t="array" ref="BE21">_xlfn.LET(_xlpm.n,IF($AX$5="✔",$AZ$5,0),SUMPRODUCT($E$9:$N$9+BE$2*_xlpm.n,$E$23:$N$23))</f>
        <v>0</v>
      </c>
      <c r="BF21" s="29" cm="1">
        <f t="array" ref="BF21">SUMPRODUCT($E$9:$N$9,$E$23:$N$23)</f>
        <v>0</v>
      </c>
      <c r="BG21" s="29" cm="1">
        <f t="array" ref="BG21">_xlfn.LET(_xlpm.n,IF($AX$5="✔",$AZ$5,0),SUMPRODUCT($E$9:$N$9+BG$2*_xlpm.n,$E$23:$N$23))</f>
        <v>0</v>
      </c>
      <c r="BH21" s="29" cm="1">
        <f t="array" ref="BH21">_xlfn.LET(_xlpm.n,IF($AX$5="✔",$AZ$5,0),SUMPRODUCT($E$9:$N$9+BH$2*_xlpm.n,$E$23:$N$23))</f>
        <v>0</v>
      </c>
      <c r="BI21" s="29" cm="1">
        <f t="array" ref="BI21">_xlfn.LET(_xlpm.n,IF($AX$5="✔",$AZ$5,0),SUMPRODUCT($E$9:$N$9+BI$2*_xlpm.n,$E$23:$N$23))</f>
        <v>0</v>
      </c>
      <c r="BJ21" s="29" cm="1">
        <f t="array" ref="BJ21">_xlfn.LET(_xlpm.n,IF($AX$5="✔",$AZ$5,0),SUMPRODUCT($E$9:$N$9+BJ$2*_xlpm.n,$E$23:$N$23))</f>
        <v>0</v>
      </c>
      <c r="BK21" s="29" cm="1">
        <f t="array" ref="BK21">_xlfn.LET(_xlpm.n,IF($AX$5="✔",$AZ$5,0),SUMPRODUCT($E$9:$N$9+BK$2*_xlpm.n,$E$23:$N$23))</f>
        <v>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95"/>
      <c r="F22" s="98"/>
      <c r="G22" s="98"/>
      <c r="H22" s="98"/>
      <c r="I22" s="98"/>
      <c r="J22" s="98"/>
      <c r="K22" s="98"/>
      <c r="L22" s="98"/>
      <c r="M22" s="98"/>
      <c r="N22" s="98"/>
      <c r="Q22" s="90" t="s">
        <v>26</v>
      </c>
      <c r="R22" s="20">
        <f>$E$4*$I$7*$I$8*$I$9</f>
        <v>0</v>
      </c>
      <c r="S22" s="51" t="e">
        <f>SUM($W$41:$W$49)</f>
        <v>#DIV/0!</v>
      </c>
      <c r="T22" s="51" t="e">
        <f>SUM($W$50:$W$55)</f>
        <v>#DIV/0!</v>
      </c>
      <c r="U22" s="51" t="e">
        <f>SUM($W$56:$W$57)</f>
        <v>#DIV/0!</v>
      </c>
      <c r="V22" s="29" t="e">
        <f>MAX(0,W58-W59)</f>
        <v>#DIV/0!</v>
      </c>
      <c r="W22" s="51" t="e">
        <f t="shared" si="40"/>
        <v>#DIV/0!</v>
      </c>
      <c r="AE22" s="27"/>
      <c r="AF22" s="37"/>
      <c r="AG22" s="53" t="s">
        <v>17</v>
      </c>
      <c r="AH22" s="54" t="s">
        <v>112</v>
      </c>
      <c r="AI22" s="55"/>
      <c r="AJ22" s="55">
        <f>AJ3*0.09/1.09</f>
        <v>0</v>
      </c>
      <c r="AK22" s="55">
        <f t="shared" ref="AJ22:AU22" si="47">AK3*0.09/1.09</f>
        <v>0</v>
      </c>
      <c r="AL22" s="55">
        <f t="shared" si="47"/>
        <v>0</v>
      </c>
      <c r="AM22" s="55">
        <f t="shared" si="47"/>
        <v>0</v>
      </c>
      <c r="AN22" s="55">
        <f t="shared" si="47"/>
        <v>0</v>
      </c>
      <c r="AO22" s="55">
        <f t="shared" si="47"/>
        <v>0</v>
      </c>
      <c r="AP22" s="55">
        <f t="shared" si="47"/>
        <v>0</v>
      </c>
      <c r="AQ22" s="55">
        <f t="shared" si="47"/>
        <v>0</v>
      </c>
      <c r="AR22" s="55">
        <f t="shared" si="47"/>
        <v>0</v>
      </c>
      <c r="AS22" s="55">
        <f t="shared" si="47"/>
        <v>0</v>
      </c>
      <c r="AT22" s="55">
        <f t="shared" si="47"/>
        <v>0</v>
      </c>
      <c r="AU22" s="55">
        <f t="shared" si="47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95"/>
      <c r="F23" s="98"/>
      <c r="G23" s="98"/>
      <c r="H23" s="98"/>
      <c r="I23" s="98"/>
      <c r="J23" s="98"/>
      <c r="K23" s="98"/>
      <c r="L23" s="98"/>
      <c r="M23" s="98"/>
      <c r="N23" s="98"/>
      <c r="Q23" s="90" t="s">
        <v>27</v>
      </c>
      <c r="R23" s="20">
        <f>$E$4*$J$7*$J$8*$J$9</f>
        <v>0</v>
      </c>
      <c r="S23" s="51" t="e">
        <f>SUM($X$41:$X$49)</f>
        <v>#DIV/0!</v>
      </c>
      <c r="T23" s="51" t="e">
        <f>SUM($X$50:$X$55)</f>
        <v>#DIV/0!</v>
      </c>
      <c r="U23" s="51" t="e">
        <f>SUM($X$56:$X$57)</f>
        <v>#DIV/0!</v>
      </c>
      <c r="V23" s="29" t="e">
        <f>MAX(0,X58-X59)</f>
        <v>#DIV/0!</v>
      </c>
      <c r="W23" s="51" t="e">
        <f t="shared" si="40"/>
        <v>#DIV/0!</v>
      </c>
      <c r="AE23" s="27"/>
      <c r="AF23" s="27"/>
      <c r="AG23" s="28"/>
      <c r="AH23" s="56" t="s">
        <v>115</v>
      </c>
      <c r="AI23" s="57">
        <f>AI4*0.13/1.13</f>
        <v>0</v>
      </c>
      <c r="AJ23" s="57">
        <f>(AJ5+AJ18+AJ19)*0.13/1.13+AJ10*0.06/1.06</f>
        <v>0</v>
      </c>
      <c r="AK23" s="57">
        <f t="shared" ref="AJ23:AU23" si="48">(AK5+AK18+AK19)*0.13/1.13+AK10*0.06/1.06</f>
        <v>0</v>
      </c>
      <c r="AL23" s="57">
        <f t="shared" si="48"/>
        <v>0</v>
      </c>
      <c r="AM23" s="57">
        <f t="shared" si="48"/>
        <v>0</v>
      </c>
      <c r="AN23" s="57">
        <f t="shared" si="48"/>
        <v>0</v>
      </c>
      <c r="AO23" s="57">
        <f t="shared" si="48"/>
        <v>0</v>
      </c>
      <c r="AP23" s="57">
        <f t="shared" si="48"/>
        <v>0</v>
      </c>
      <c r="AQ23" s="57">
        <f t="shared" si="48"/>
        <v>0</v>
      </c>
      <c r="AR23" s="57">
        <f t="shared" si="48"/>
        <v>0</v>
      </c>
      <c r="AS23" s="57">
        <f t="shared" si="48"/>
        <v>0</v>
      </c>
      <c r="AT23" s="57">
        <f t="shared" si="48"/>
        <v>0</v>
      </c>
      <c r="AU23" s="57">
        <f t="shared" si="48"/>
        <v>0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0</v>
      </c>
      <c r="BB23" s="29" cm="1">
        <f t="array" ref="BB23">_xlfn.LET(_xlpm.n,IF($AX$5="✔",$AZ$5,0),SUMPRODUCT($E$9:$N$9+BB$2*_xlpm.n,$E$25:$N$25))</f>
        <v>0</v>
      </c>
      <c r="BC23" s="29" cm="1">
        <f t="array" ref="BC23">_xlfn.LET(_xlpm.n,IF($AX$5="✔",$AZ$5,0),SUMPRODUCT($E$9:$N$9+BC$2*_xlpm.n,$E$25:$N$25))</f>
        <v>0</v>
      </c>
      <c r="BD23" s="29" cm="1">
        <f t="array" ref="BD23">_xlfn.LET(_xlpm.n,IF($AX$5="✔",$AZ$5,0),SUMPRODUCT($E$9:$N$9+BD$2*_xlpm.n,$E$25:$N$25))</f>
        <v>0</v>
      </c>
      <c r="BE23" s="29" cm="1">
        <f t="array" ref="BE23">_xlfn.LET(_xlpm.n,IF($AX$5="✔",$AZ$5,0),SUMPRODUCT($E$9:$N$9+BE$2*_xlpm.n,$E$25:$N$25))</f>
        <v>0</v>
      </c>
      <c r="BF23" s="29" cm="1">
        <f t="array" ref="BF23">SUMPRODUCT($E$9:$N$9,$E$25:$N$25)</f>
        <v>0</v>
      </c>
      <c r="BG23" s="29" cm="1">
        <f t="array" ref="BG23">_xlfn.LET(_xlpm.n,IF($AX$5="✔",$AZ$5,0),SUMPRODUCT($E$9:$N$9+BG$2*_xlpm.n,$E$25:$N$25))</f>
        <v>0</v>
      </c>
      <c r="BH23" s="29" cm="1">
        <f t="array" ref="BH23">_xlfn.LET(_xlpm.n,IF($AX$5="✔",$AZ$5,0),SUMPRODUCT($E$9:$N$9+BH$2*_xlpm.n,$E$25:$N$25))</f>
        <v>0</v>
      </c>
      <c r="BI23" s="29" cm="1">
        <f t="array" ref="BI23">_xlfn.LET(_xlpm.n,IF($AX$5="✔",$AZ$5,0),SUMPRODUCT($E$9:$N$9+BI$2*_xlpm.n,$E$25:$N$25))</f>
        <v>0</v>
      </c>
      <c r="BJ23" s="29" cm="1">
        <f t="array" ref="BJ23">_xlfn.LET(_xlpm.n,IF($AX$5="✔",$AZ$5,0),SUMPRODUCT($E$9:$N$9+BJ$2*_xlpm.n,$E$25:$N$25))</f>
        <v>0</v>
      </c>
      <c r="BK23" s="29" cm="1">
        <f t="array" ref="BK23">_xlfn.LET(_xlpm.n,IF($AX$5="✔",$AZ$5,0),SUMPRODUCT($E$9:$N$9+BK$2*_xlpm.n,$E$25:$N$25))</f>
        <v>0</v>
      </c>
    </row>
    <row r="24" spans="1:63">
      <c r="A24" s="15"/>
      <c r="B24" s="16" t="s">
        <v>116</v>
      </c>
      <c r="C24" s="17" t="s">
        <v>117</v>
      </c>
      <c r="D24" s="17"/>
      <c r="E24" s="95"/>
      <c r="F24" s="98"/>
      <c r="G24" s="98"/>
      <c r="H24" s="98"/>
      <c r="I24" s="98"/>
      <c r="J24" s="98"/>
      <c r="K24" s="98"/>
      <c r="L24" s="98"/>
      <c r="M24" s="98"/>
      <c r="N24" s="98"/>
      <c r="Q24" s="90" t="s">
        <v>28</v>
      </c>
      <c r="R24" s="20">
        <f>$E$4*$K$7*$K$8*$K$9</f>
        <v>0</v>
      </c>
      <c r="S24" s="51" t="e">
        <f t="shared" ref="S24:S26" si="49">SUM($Y$41:$Y$49)</f>
        <v>#DIV/0!</v>
      </c>
      <c r="T24" s="51" t="e">
        <f>SUM($Y$50:$Y$55)</f>
        <v>#DIV/0!</v>
      </c>
      <c r="U24" s="51" t="e">
        <f>SUM($Y$56:$Y$57)</f>
        <v>#DIV/0!</v>
      </c>
      <c r="V24" s="29" t="e">
        <f>MAX(0,Y58-Y59)</f>
        <v>#DIV/0!</v>
      </c>
      <c r="W24" s="51" t="e">
        <f t="shared" si="40"/>
        <v>#DIV/0!</v>
      </c>
      <c r="AE24" s="27"/>
      <c r="AF24" s="27"/>
      <c r="AG24" s="22"/>
      <c r="AH24" s="50" t="s">
        <v>118</v>
      </c>
      <c r="AI24" s="24">
        <f>AI22-AI23</f>
        <v>0</v>
      </c>
      <c r="AJ24" s="24">
        <f t="shared" ref="AJ24:AU24" si="50">AJ22-AJ23</f>
        <v>0</v>
      </c>
      <c r="AK24" s="24">
        <f t="shared" si="50"/>
        <v>0</v>
      </c>
      <c r="AL24" s="24">
        <f t="shared" si="50"/>
        <v>0</v>
      </c>
      <c r="AM24" s="24">
        <f t="shared" si="50"/>
        <v>0</v>
      </c>
      <c r="AN24" s="24">
        <f t="shared" si="50"/>
        <v>0</v>
      </c>
      <c r="AO24" s="24">
        <f t="shared" si="50"/>
        <v>0</v>
      </c>
      <c r="AP24" s="24">
        <f t="shared" si="50"/>
        <v>0</v>
      </c>
      <c r="AQ24" s="24">
        <f t="shared" si="50"/>
        <v>0</v>
      </c>
      <c r="AR24" s="24">
        <f t="shared" si="50"/>
        <v>0</v>
      </c>
      <c r="AS24" s="24">
        <f t="shared" si="50"/>
        <v>0</v>
      </c>
      <c r="AT24" s="24">
        <f t="shared" si="50"/>
        <v>0</v>
      </c>
      <c r="AU24" s="24">
        <f t="shared" si="50"/>
        <v>0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0</v>
      </c>
      <c r="BB24" s="29" cm="1">
        <f t="array" ref="BB24">_xlfn.LET(_xlpm.n,IF($AX$5="✔",$AZ$5,0),BB$3*SUMPRODUCT(IF($E$8:$N$8,BB$7,$E$33),$E$6:$N$6,$E$9:$N$9+BB$2*_xlpm.n))</f>
        <v>0</v>
      </c>
      <c r="BC24" s="29" cm="1">
        <f t="array" ref="BC24">_xlfn.LET(_xlpm.n,IF($AX$5="✔",$AZ$5,0),BC$3*SUMPRODUCT(IF($E$8:$N$8,BC$7,$E$33),$E$6:$N$6,$E$9:$N$9+BC$2*_xlpm.n))</f>
        <v>0</v>
      </c>
      <c r="BD24" s="29" cm="1">
        <f t="array" ref="BD24">_xlfn.LET(_xlpm.n,IF($AX$5="✔",$AZ$5,0),BD$3*SUMPRODUCT(IF($E$8:$N$8,BD$7,$E$33),$E$6:$N$6,$E$9:$N$9+BD$2*_xlpm.n))</f>
        <v>0</v>
      </c>
      <c r="BE24" s="29" cm="1">
        <f t="array" ref="BE24">_xlfn.LET(_xlpm.n,IF($AX$5="✔",$AZ$5,0),BE$3*SUMPRODUCT(IF($E$8:$N$8,BE$7,$E$33),$E$6:$N$6,$E$9:$N$9+BE$2*_xlpm.n))</f>
        <v>0</v>
      </c>
      <c r="BF24" s="29" cm="1">
        <f t="array" ref="BF24">$E$5*SUMPRODUCT(IF($E$8:$N$8,$E$32,$E$33),$E$6:$N$6,$E$9:$N$9)</f>
        <v>0</v>
      </c>
      <c r="BG24" s="29" cm="1">
        <f t="array" ref="BG24">_xlfn.LET(_xlpm.n,IF($AX$5="✔",$AZ$5,0),BG$3*SUMPRODUCT(IF($E$8:$N$8,BG$7,$E$33),$E$6:$N$6,$E$9:$N$9+BG$2*_xlpm.n))</f>
        <v>0</v>
      </c>
      <c r="BH24" s="29" cm="1">
        <f t="array" ref="BH24">_xlfn.LET(_xlpm.n,IF($AX$5="✔",$AZ$5,0),BH$3*SUMPRODUCT(IF($E$8:$N$8,BH$7,$E$33),$E$6:$N$6,$E$9:$N$9+BH$2*_xlpm.n))</f>
        <v>0</v>
      </c>
      <c r="BI24" s="29" cm="1">
        <f t="array" ref="BI24">_xlfn.LET(_xlpm.n,IF($AX$5="✔",$AZ$5,0),BI$3*SUMPRODUCT(IF($E$8:$N$8,BI$7,$E$33),$E$6:$N$6,$E$9:$N$9+BI$2*_xlpm.n))</f>
        <v>0</v>
      </c>
      <c r="BJ24" s="29" cm="1">
        <f t="array" ref="BJ24">_xlfn.LET(_xlpm.n,IF($AX$5="✔",$AZ$5,0),BJ$3*SUMPRODUCT(IF($E$8:$N$8,BJ$7,$E$33),$E$6:$N$6,$E$9:$N$9+BJ$2*_xlpm.n))</f>
        <v>0</v>
      </c>
      <c r="BK24" s="29" cm="1">
        <f t="array" ref="BK24">_xlfn.LET(_xlpm.n,IF($AX$5="✔",$AZ$5,0),BK$3*SUMPRODUCT(IF($E$8:$N$8,BK$7,$E$33),$E$6:$N$6,$E$9:$N$9+BK$2*_xlpm.n))</f>
        <v>0</v>
      </c>
    </row>
    <row r="25" ht="16.5" spans="1:63">
      <c r="A25" s="15"/>
      <c r="B25" s="16" t="s">
        <v>119</v>
      </c>
      <c r="C25" s="17" t="s">
        <v>120</v>
      </c>
      <c r="D25" s="17"/>
      <c r="E25" s="95"/>
      <c r="F25" s="98"/>
      <c r="G25" s="98"/>
      <c r="H25" s="98"/>
      <c r="I25" s="98"/>
      <c r="J25" s="98"/>
      <c r="K25" s="98"/>
      <c r="L25" s="98"/>
      <c r="M25" s="98"/>
      <c r="N25" s="98"/>
      <c r="Q25" s="90" t="s">
        <v>29</v>
      </c>
      <c r="R25" s="20">
        <f>$E$4*$L$7*$L$8*$L$9</f>
        <v>0</v>
      </c>
      <c r="S25" s="51" t="e">
        <f>SUM($Z$41:$Z$49)</f>
        <v>#DIV/0!</v>
      </c>
      <c r="T25" s="51" t="e">
        <f>SUM($Z$50:$Z$55)</f>
        <v>#DIV/0!</v>
      </c>
      <c r="U25" s="51" t="e">
        <f>SUM($Z$56:$Z$57)</f>
        <v>#DIV/0!</v>
      </c>
      <c r="V25" s="29" t="e">
        <f>MAX(0,Z58-Z59)</f>
        <v>#DIV/0!</v>
      </c>
      <c r="W25" s="51" t="e">
        <f t="shared" si="40"/>
        <v>#DIV/0!</v>
      </c>
      <c r="AE25" s="33"/>
      <c r="AF25" s="33"/>
      <c r="AG25" s="48" t="s">
        <v>121</v>
      </c>
      <c r="AH25" s="48"/>
      <c r="AI25" s="58">
        <f>-AI4+AI24</f>
        <v>0</v>
      </c>
      <c r="AJ25" s="58">
        <f>AJ3-SUM(AJ5:AJ21)-AJ24</f>
        <v>0</v>
      </c>
      <c r="AK25" s="58">
        <f t="shared" ref="AJ25:AU25" si="51">AK3-SUM(AK5:AK21)-AK24</f>
        <v>0</v>
      </c>
      <c r="AL25" s="58">
        <f t="shared" si="51"/>
        <v>0</v>
      </c>
      <c r="AM25" s="58">
        <f t="shared" si="51"/>
        <v>0</v>
      </c>
      <c r="AN25" s="58">
        <f t="shared" si="51"/>
        <v>0</v>
      </c>
      <c r="AO25" s="58">
        <f t="shared" si="51"/>
        <v>0</v>
      </c>
      <c r="AP25" s="58">
        <f t="shared" si="51"/>
        <v>0</v>
      </c>
      <c r="AQ25" s="58">
        <f t="shared" si="51"/>
        <v>0</v>
      </c>
      <c r="AR25" s="58">
        <f t="shared" si="51"/>
        <v>0</v>
      </c>
      <c r="AS25" s="58">
        <f t="shared" si="51"/>
        <v>0</v>
      </c>
      <c r="AT25" s="58">
        <f t="shared" si="51"/>
        <v>0</v>
      </c>
      <c r="AU25" s="58">
        <f t="shared" si="51"/>
        <v>0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0</v>
      </c>
      <c r="BB25" s="24" cm="1">
        <f t="array" ref="BB25">_xlfn.LET(_xlpm.n,IF($AX$5="✔",$AZ$5,0),SUMPRODUCT($E$6:$N$6,$E$9:$N$9+BB$2*_xlpm.n)/$E$29*$E$30*$E$31)</f>
        <v>0</v>
      </c>
      <c r="BC25" s="24" cm="1">
        <f t="array" ref="BC25">_xlfn.LET(_xlpm.n,IF($AX$5="✔",$AZ$5,0),SUMPRODUCT($E$6:$N$6,$E$9:$N$9+BC$2*_xlpm.n)/$E$29*$E$30*$E$31)</f>
        <v>0</v>
      </c>
      <c r="BD25" s="24" cm="1">
        <f t="array" ref="BD25">_xlfn.LET(_xlpm.n,IF($AX$5="✔",$AZ$5,0),SUMPRODUCT($E$6:$N$6,$E$9:$N$9+BD$2*_xlpm.n)/$E$29*$E$30*$E$31)</f>
        <v>0</v>
      </c>
      <c r="BE25" s="24" cm="1">
        <f t="array" ref="BE25">_xlfn.LET(_xlpm.n,IF($AX$5="✔",$AZ$5,0),SUMPRODUCT($E$6:$N$6,$E$9:$N$9+BE$2*_xlpm.n)/$E$29*$E$30*$E$31)</f>
        <v>0</v>
      </c>
      <c r="BF25" s="24" cm="1">
        <f t="array" ref="BF25">SUMPRODUCT($E$6:$N$6,$E$9:$N$9)/$E$29*$E$30*$E$31</f>
        <v>0</v>
      </c>
      <c r="BG25" s="24" cm="1">
        <f t="array" ref="BG25">_xlfn.LET(_xlpm.n,IF($AX$5="✔",$AZ$5,0),SUMPRODUCT($E$6:$N$6,$E$9:$N$9+BG$2*_xlpm.n)/$E$29*$E$30*$E$31)</f>
        <v>0</v>
      </c>
      <c r="BH25" s="24" cm="1">
        <f t="array" ref="BH25">_xlfn.LET(_xlpm.n,IF($AX$5="✔",$AZ$5,0),SUMPRODUCT($E$6:$N$6,$E$9:$N$9+BH$2*_xlpm.n)/$E$29*$E$30*$E$31)</f>
        <v>0</v>
      </c>
      <c r="BI25" s="24" cm="1">
        <f t="array" ref="BI25">_xlfn.LET(_xlpm.n,IF($AX$5="✔",$AZ$5,0),SUMPRODUCT($E$6:$N$6,$E$9:$N$9+BI$2*_xlpm.n)/$E$29*$E$30*$E$31)</f>
        <v>0</v>
      </c>
      <c r="BJ25" s="24" cm="1">
        <f t="array" ref="BJ25">_xlfn.LET(_xlpm.n,IF($AX$5="✔",$AZ$5,0),SUMPRODUCT($E$6:$N$6,$E$9:$N$9+BJ$2*_xlpm.n)/$E$29*$E$30*$E$31)</f>
        <v>0</v>
      </c>
      <c r="BK25" s="24" cm="1">
        <f t="array" ref="BK25">_xlfn.LET(_xlpm.n,IF($AX$5="✔",$AZ$5,0),SUMPRODUCT($E$6:$N$6,$E$9:$N$9+BK$2*_xlpm.n)/$E$29*$E$30*$E$31)</f>
        <v>0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89"/>
      <c r="F26" s="89"/>
      <c r="G26" s="89"/>
      <c r="H26" s="89"/>
      <c r="I26" s="89"/>
      <c r="J26" s="89"/>
      <c r="K26" s="89"/>
      <c r="L26" s="89"/>
      <c r="M26" s="89"/>
      <c r="N26" s="89"/>
      <c r="Q26" s="90" t="s">
        <v>30</v>
      </c>
      <c r="R26" s="20">
        <f>$E$4*$M$7*$M$8*$M$9</f>
        <v>0</v>
      </c>
      <c r="S26" s="51" t="e">
        <f>SUM($Z$41:$Z$49)</f>
        <v>#DIV/0!</v>
      </c>
      <c r="T26" s="51" t="e">
        <f>SUM($AA$50:$AA$55)</f>
        <v>#DIV/0!</v>
      </c>
      <c r="U26" s="51" t="e">
        <f>SUM($AA$56:$AA$57)</f>
        <v>#DIV/0!</v>
      </c>
      <c r="V26" s="29" t="e">
        <f>MAX(0,AA58-AA59)</f>
        <v>#DIV/0!</v>
      </c>
      <c r="W26" s="51" t="e">
        <f t="shared" si="40"/>
        <v>#DIV/0!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0</v>
      </c>
      <c r="AK26" s="58">
        <f>SUM($AI$25:AK25)</f>
        <v>0</v>
      </c>
      <c r="AL26" s="58">
        <f>SUM($AI$25:AL25)</f>
        <v>0</v>
      </c>
      <c r="AM26" s="58">
        <f>SUM($AI$25:AM25)</f>
        <v>0</v>
      </c>
      <c r="AN26" s="58">
        <f>SUM($AI$25:AN25)</f>
        <v>0</v>
      </c>
      <c r="AO26" s="58">
        <f>SUM($AI$25:AO25)</f>
        <v>0</v>
      </c>
      <c r="AP26" s="58">
        <f>SUM($AI$25:AP25)</f>
        <v>0</v>
      </c>
      <c r="AQ26" s="58">
        <f>SUM($AI$25:AQ25)</f>
        <v>0</v>
      </c>
      <c r="AR26" s="58">
        <f>SUM($AI$25:AR25)</f>
        <v>0</v>
      </c>
      <c r="AS26" s="58">
        <f>SUM($AI$25:AS25)</f>
        <v>0</v>
      </c>
      <c r="AT26" s="58">
        <f>SUM($AI$25:AT25)</f>
        <v>0</v>
      </c>
      <c r="AU26" s="58">
        <f>SUM($AI$25:AU25)</f>
        <v>0</v>
      </c>
      <c r="AX26" s="28" t="s">
        <v>16</v>
      </c>
      <c r="AY26" s="28"/>
      <c r="AZ26" s="35" t="s">
        <v>106</v>
      </c>
      <c r="BA26" s="29">
        <f t="shared" ref="BA26:BK26" si="52">BA9*$E$34/12*$E$26</f>
        <v>0</v>
      </c>
      <c r="BB26" s="29">
        <f t="shared" si="52"/>
        <v>0</v>
      </c>
      <c r="BC26" s="29">
        <f t="shared" si="52"/>
        <v>0</v>
      </c>
      <c r="BD26" s="29">
        <f t="shared" si="52"/>
        <v>0</v>
      </c>
      <c r="BE26" s="29">
        <f t="shared" si="52"/>
        <v>0</v>
      </c>
      <c r="BF26" s="29">
        <f t="shared" si="52"/>
        <v>0</v>
      </c>
      <c r="BG26" s="29">
        <f t="shared" si="52"/>
        <v>0</v>
      </c>
      <c r="BH26" s="29">
        <f t="shared" si="52"/>
        <v>0</v>
      </c>
      <c r="BI26" s="29">
        <f t="shared" si="52"/>
        <v>0</v>
      </c>
      <c r="BJ26" s="29">
        <f t="shared" si="52"/>
        <v>0</v>
      </c>
      <c r="BK26" s="29">
        <f t="shared" si="52"/>
        <v>0</v>
      </c>
    </row>
    <row r="27" spans="1:63">
      <c r="A27" s="15"/>
      <c r="B27" s="16" t="s">
        <v>125</v>
      </c>
      <c r="C27" s="17" t="s">
        <v>126</v>
      </c>
      <c r="D27" s="17"/>
      <c r="E27" s="89">
        <v>1</v>
      </c>
      <c r="F27" s="89"/>
      <c r="G27" s="89"/>
      <c r="H27" s="89"/>
      <c r="I27" s="89"/>
      <c r="J27" s="89"/>
      <c r="K27" s="89"/>
      <c r="L27" s="89"/>
      <c r="M27" s="89"/>
      <c r="N27" s="89"/>
      <c r="Q27" s="90" t="s">
        <v>31</v>
      </c>
      <c r="R27" s="20">
        <f>$E$4*$N$7*$N$8*$N$9</f>
        <v>0</v>
      </c>
      <c r="S27" s="51" t="e">
        <f>SUM($AB$41:$AB$49)</f>
        <v>#DIV/0!</v>
      </c>
      <c r="T27" s="51" t="e">
        <f>SUM($AB$50:$AB$55)</f>
        <v>#DIV/0!</v>
      </c>
      <c r="U27" s="51" t="e">
        <f>SUM($AB$56:$AB$57)</f>
        <v>#DIV/0!</v>
      </c>
      <c r="V27" s="29" t="e">
        <f>MAX(0,AB58-AB59)</f>
        <v>#DIV/0!</v>
      </c>
      <c r="W27" s="51" t="e">
        <f t="shared" si="40"/>
        <v>#DIV/0!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 t="e">
        <f t="shared" ref="BA27:BE27" si="53">(BA$6*12/$E$10+SUM(BA12:BA25))*$E$35/12*$E$27</f>
        <v>#DIV/0!</v>
      </c>
      <c r="BB27" s="29" t="e">
        <f t="shared" si="53"/>
        <v>#DIV/0!</v>
      </c>
      <c r="BC27" s="29" t="e">
        <f t="shared" si="53"/>
        <v>#DIV/0!</v>
      </c>
      <c r="BD27" s="29" t="e">
        <f t="shared" si="53"/>
        <v>#DIV/0!</v>
      </c>
      <c r="BE27" s="29" t="e">
        <f t="shared" si="53"/>
        <v>#DIV/0!</v>
      </c>
      <c r="BF27" s="29" t="e">
        <f>($E$13*12/$E$10+SUM(BF12:BF25))*$E$35/12*$E$27</f>
        <v>#DIV/0!</v>
      </c>
      <c r="BG27" s="29" t="e">
        <f t="shared" ref="BG27:BK27" si="54">(BG$6*12/$E$10+SUM(BG12:BG25))*$E$35/12*$E$27</f>
        <v>#DIV/0!</v>
      </c>
      <c r="BH27" s="29" t="e">
        <f t="shared" si="54"/>
        <v>#DIV/0!</v>
      </c>
      <c r="BI27" s="29" t="e">
        <f t="shared" si="54"/>
        <v>#DIV/0!</v>
      </c>
      <c r="BJ27" s="29" t="e">
        <f t="shared" si="54"/>
        <v>#DIV/0!</v>
      </c>
      <c r="BK27" s="29" t="e">
        <f t="shared" si="54"/>
        <v>#DIV/0!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99">
        <v>60</v>
      </c>
      <c r="F28" s="99"/>
      <c r="G28" s="99"/>
      <c r="H28" s="99"/>
      <c r="I28" s="99"/>
      <c r="J28" s="99"/>
      <c r="K28" s="99"/>
      <c r="L28" s="99"/>
      <c r="M28" s="99"/>
      <c r="N28" s="99"/>
      <c r="Q28" s="48" t="s">
        <v>84</v>
      </c>
      <c r="R28" s="49">
        <f>SUM(R18:R27)</f>
        <v>0</v>
      </c>
      <c r="S28" s="49" t="e">
        <f>SUM(S18:S27)</f>
        <v>#DIV/0!</v>
      </c>
      <c r="T28" s="49" t="e">
        <f>SUM(T18:T27)</f>
        <v>#DIV/0!</v>
      </c>
      <c r="U28" s="49" t="e">
        <f>SUM(U18:U27)</f>
        <v>#DIV/0!</v>
      </c>
      <c r="V28" s="49" t="e">
        <f>SUM(V18:V27)</f>
        <v>#DIV/0!</v>
      </c>
      <c r="W28" s="49" t="e">
        <f t="shared" si="40"/>
        <v>#DIV/0!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E28" si="55">BA9*0.09/1.09</f>
        <v>0</v>
      </c>
      <c r="BB28" s="55">
        <f t="shared" si="55"/>
        <v>0</v>
      </c>
      <c r="BC28" s="55">
        <f t="shared" si="55"/>
        <v>0</v>
      </c>
      <c r="BD28" s="55">
        <f t="shared" si="55"/>
        <v>0</v>
      </c>
      <c r="BE28" s="55">
        <f t="shared" si="55"/>
        <v>0</v>
      </c>
      <c r="BF28" s="55">
        <f t="shared" ref="BF28:BK28" si="56">BF9*0.09/1.09</f>
        <v>0</v>
      </c>
      <c r="BG28" s="55">
        <f t="shared" si="56"/>
        <v>0</v>
      </c>
      <c r="BH28" s="55">
        <f t="shared" si="56"/>
        <v>0</v>
      </c>
      <c r="BI28" s="55">
        <f t="shared" si="56"/>
        <v>0</v>
      </c>
      <c r="BJ28" s="55">
        <f t="shared" si="56"/>
        <v>0</v>
      </c>
      <c r="BK28" s="55">
        <f t="shared" si="56"/>
        <v>0</v>
      </c>
    </row>
    <row r="29" spans="1:63">
      <c r="A29" s="60"/>
      <c r="B29" s="61" t="s">
        <v>131</v>
      </c>
      <c r="C29" s="62" t="s">
        <v>132</v>
      </c>
      <c r="D29" s="62"/>
      <c r="E29" s="99">
        <v>80000</v>
      </c>
      <c r="F29" s="99"/>
      <c r="G29" s="99"/>
      <c r="H29" s="99"/>
      <c r="I29" s="99"/>
      <c r="J29" s="99"/>
      <c r="K29" s="99"/>
      <c r="L29" s="99"/>
      <c r="M29" s="99"/>
      <c r="N29" s="99"/>
      <c r="Q29" s="1" t="s">
        <v>133</v>
      </c>
      <c r="R29" s="1"/>
      <c r="AX29" s="28"/>
      <c r="AY29" s="28"/>
      <c r="AZ29" s="66" t="s">
        <v>115</v>
      </c>
      <c r="BA29" s="57" t="e">
        <f t="shared" ref="BA29:BE29" si="57">(BA11+BA24+BA25)*0.13/1.13+BA16*0.06/1.06</f>
        <v>#DIV/0!</v>
      </c>
      <c r="BB29" s="57" t="e">
        <f t="shared" si="57"/>
        <v>#DIV/0!</v>
      </c>
      <c r="BC29" s="57" t="e">
        <f t="shared" si="57"/>
        <v>#DIV/0!</v>
      </c>
      <c r="BD29" s="57" t="e">
        <f t="shared" si="57"/>
        <v>#DIV/0!</v>
      </c>
      <c r="BE29" s="57" t="e">
        <f t="shared" si="57"/>
        <v>#DIV/0!</v>
      </c>
      <c r="BF29" s="57" t="e">
        <f t="shared" ref="BF29:BK29" si="58">(BF11+BF24+BF25)*0.13/1.13+BF16*0.06/1.06</f>
        <v>#DIV/0!</v>
      </c>
      <c r="BG29" s="57" t="e">
        <f t="shared" si="58"/>
        <v>#DIV/0!</v>
      </c>
      <c r="BH29" s="57" t="e">
        <f t="shared" si="58"/>
        <v>#DIV/0!</v>
      </c>
      <c r="BI29" s="57" t="e">
        <f t="shared" si="58"/>
        <v>#DIV/0!</v>
      </c>
      <c r="BJ29" s="57" t="e">
        <f t="shared" si="58"/>
        <v>#DIV/0!</v>
      </c>
      <c r="BK29" s="57" t="e">
        <f t="shared" si="58"/>
        <v>#DIV/0!</v>
      </c>
    </row>
    <row r="30" spans="1:63">
      <c r="A30" s="60"/>
      <c r="B30" s="61" t="s">
        <v>134</v>
      </c>
      <c r="C30" s="62" t="s">
        <v>135</v>
      </c>
      <c r="D30" s="62"/>
      <c r="E30" s="99">
        <v>22</v>
      </c>
      <c r="F30" s="99"/>
      <c r="G30" s="99"/>
      <c r="H30" s="99"/>
      <c r="I30" s="99"/>
      <c r="J30" s="99"/>
      <c r="K30" s="99"/>
      <c r="L30" s="99"/>
      <c r="M30" s="99"/>
      <c r="N30" s="99"/>
      <c r="AE30" s="67"/>
      <c r="AF30" s="67"/>
      <c r="AX30" s="22"/>
      <c r="AY30" s="22"/>
      <c r="AZ30" s="23" t="s">
        <v>118</v>
      </c>
      <c r="BA30" s="24" t="e">
        <f t="shared" ref="BA30:BE30" si="59">MAX(0,BA28-BA29)</f>
        <v>#DIV/0!</v>
      </c>
      <c r="BB30" s="24" t="e">
        <f t="shared" si="59"/>
        <v>#DIV/0!</v>
      </c>
      <c r="BC30" s="24" t="e">
        <f t="shared" si="59"/>
        <v>#DIV/0!</v>
      </c>
      <c r="BD30" s="24" t="e">
        <f t="shared" si="59"/>
        <v>#DIV/0!</v>
      </c>
      <c r="BE30" s="24" t="e">
        <f t="shared" si="59"/>
        <v>#DIV/0!</v>
      </c>
      <c r="BF30" s="24" t="e">
        <f t="shared" ref="BF30:BK30" si="60">MAX(0,BF28-BF29)</f>
        <v>#DIV/0!</v>
      </c>
      <c r="BG30" s="24" t="e">
        <f t="shared" si="60"/>
        <v>#DIV/0!</v>
      </c>
      <c r="BH30" s="24" t="e">
        <f t="shared" si="60"/>
        <v>#DIV/0!</v>
      </c>
      <c r="BI30" s="24" t="e">
        <f t="shared" si="60"/>
        <v>#DIV/0!</v>
      </c>
      <c r="BJ30" s="24" t="e">
        <f t="shared" si="60"/>
        <v>#DIV/0!</v>
      </c>
      <c r="BK30" s="24" t="e">
        <f t="shared" si="60"/>
        <v>#DIV/0!</v>
      </c>
    </row>
    <row r="31" ht="16.5" spans="1:63">
      <c r="A31" s="60"/>
      <c r="B31" s="61" t="s">
        <v>136</v>
      </c>
      <c r="C31" s="62" t="s">
        <v>137</v>
      </c>
      <c r="D31" s="62"/>
      <c r="E31" s="99">
        <v>1100</v>
      </c>
      <c r="F31" s="99"/>
      <c r="G31" s="99"/>
      <c r="H31" s="99"/>
      <c r="I31" s="99"/>
      <c r="J31" s="99"/>
      <c r="K31" s="99"/>
      <c r="L31" s="99"/>
      <c r="M31" s="99"/>
      <c r="N31" s="99"/>
      <c r="AE31" s="29"/>
      <c r="AF31" s="29"/>
      <c r="AX31" s="44" t="s">
        <v>138</v>
      </c>
      <c r="AY31" s="44"/>
      <c r="AZ31" s="44"/>
      <c r="BA31" s="45" t="e">
        <f t="shared" ref="BA31:BE31" si="61">SUM(BA11:BA27)+MAX(0,BA28-BA29)</f>
        <v>#DIV/0!</v>
      </c>
      <c r="BB31" s="45" t="e">
        <f t="shared" si="61"/>
        <v>#DIV/0!</v>
      </c>
      <c r="BC31" s="45" t="e">
        <f t="shared" si="61"/>
        <v>#DIV/0!</v>
      </c>
      <c r="BD31" s="45" t="e">
        <f t="shared" si="61"/>
        <v>#DIV/0!</v>
      </c>
      <c r="BE31" s="45" t="e">
        <f t="shared" si="61"/>
        <v>#DIV/0!</v>
      </c>
      <c r="BF31" s="45" t="e">
        <f t="shared" ref="BF31:BK31" si="62">SUM(BF11:BF27)+MAX(0,BF28-BF29)</f>
        <v>#DIV/0!</v>
      </c>
      <c r="BG31" s="45" t="e">
        <f t="shared" si="62"/>
        <v>#DIV/0!</v>
      </c>
      <c r="BH31" s="45" t="e">
        <f t="shared" si="62"/>
        <v>#DIV/0!</v>
      </c>
      <c r="BI31" s="45" t="e">
        <f t="shared" si="62"/>
        <v>#DIV/0!</v>
      </c>
      <c r="BJ31" s="45" t="e">
        <f t="shared" si="62"/>
        <v>#DIV/0!</v>
      </c>
      <c r="BK31" s="45" t="e">
        <f t="shared" si="62"/>
        <v>#DIV/0!</v>
      </c>
    </row>
    <row r="32" ht="16.5" spans="1:63">
      <c r="A32" s="60"/>
      <c r="B32" s="61" t="s">
        <v>65</v>
      </c>
      <c r="C32" s="62" t="s">
        <v>139</v>
      </c>
      <c r="D32" s="62"/>
      <c r="E32" s="99">
        <v>1.6</v>
      </c>
      <c r="F32" s="99"/>
      <c r="G32" s="99"/>
      <c r="H32" s="99"/>
      <c r="I32" s="99"/>
      <c r="J32" s="99"/>
      <c r="K32" s="99"/>
      <c r="L32" s="99"/>
      <c r="M32" s="99"/>
      <c r="N32" s="99"/>
      <c r="Q32" s="28"/>
      <c r="AE32" s="29"/>
      <c r="AF32" s="29"/>
      <c r="AX32" s="68" t="s">
        <v>140</v>
      </c>
      <c r="AY32" s="69"/>
      <c r="AZ32" s="69"/>
      <c r="BA32" s="70" t="e">
        <f t="shared" ref="BA32:BE32" si="63">BA9-BA31</f>
        <v>#DIV/0!</v>
      </c>
      <c r="BB32" s="70" t="e">
        <f t="shared" si="63"/>
        <v>#DIV/0!</v>
      </c>
      <c r="BC32" s="70" t="e">
        <f t="shared" si="63"/>
        <v>#DIV/0!</v>
      </c>
      <c r="BD32" s="70" t="e">
        <f t="shared" si="63"/>
        <v>#DIV/0!</v>
      </c>
      <c r="BE32" s="70" t="e">
        <f t="shared" si="63"/>
        <v>#DIV/0!</v>
      </c>
      <c r="BF32" s="70" t="e">
        <f t="shared" ref="BF32:BK32" si="64">BF9-BF31</f>
        <v>#DIV/0!</v>
      </c>
      <c r="BG32" s="70" t="e">
        <f t="shared" si="64"/>
        <v>#DIV/0!</v>
      </c>
      <c r="BH32" s="70" t="e">
        <f t="shared" si="64"/>
        <v>#DIV/0!</v>
      </c>
      <c r="BI32" s="70" t="e">
        <f t="shared" si="64"/>
        <v>#DIV/0!</v>
      </c>
      <c r="BJ32" s="70" t="e">
        <f t="shared" si="64"/>
        <v>#DIV/0!</v>
      </c>
      <c r="BK32" s="70" t="e">
        <f t="shared" si="64"/>
        <v>#DIV/0!</v>
      </c>
    </row>
    <row r="33" spans="1:63">
      <c r="A33" s="60"/>
      <c r="B33" s="61" t="s">
        <v>141</v>
      </c>
      <c r="C33" s="62" t="s">
        <v>142</v>
      </c>
      <c r="D33" s="62"/>
      <c r="E33" s="99">
        <v>1.1</v>
      </c>
      <c r="F33" s="99"/>
      <c r="G33" s="99"/>
      <c r="H33" s="99"/>
      <c r="I33" s="99"/>
      <c r="J33" s="99"/>
      <c r="K33" s="99"/>
      <c r="L33" s="99"/>
      <c r="M33" s="99"/>
      <c r="N33" s="99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100">
        <v>0.04</v>
      </c>
      <c r="F34" s="100"/>
      <c r="G34" s="100"/>
      <c r="H34" s="100"/>
      <c r="I34" s="100"/>
      <c r="J34" s="100"/>
      <c r="K34" s="100"/>
      <c r="L34" s="100"/>
      <c r="M34" s="100"/>
      <c r="N34" s="100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101">
        <v>0.07</v>
      </c>
      <c r="F35" s="101"/>
      <c r="G35" s="101"/>
      <c r="H35" s="101"/>
      <c r="I35" s="101"/>
      <c r="J35" s="101"/>
      <c r="K35" s="101"/>
      <c r="L35" s="101"/>
      <c r="M35" s="101"/>
      <c r="N35" s="101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8" t="s">
        <v>20</v>
      </c>
      <c r="T38" s="88" t="s">
        <v>22</v>
      </c>
      <c r="U38" s="88" t="s">
        <v>24</v>
      </c>
      <c r="V38" s="88" t="s">
        <v>25</v>
      </c>
      <c r="W38" s="88" t="s">
        <v>26</v>
      </c>
      <c r="X38" s="88" t="s">
        <v>27</v>
      </c>
      <c r="Y38" s="88" t="s">
        <v>28</v>
      </c>
      <c r="Z38" s="88" t="s">
        <v>29</v>
      </c>
      <c r="AA38" s="88" t="s">
        <v>30</v>
      </c>
      <c r="AB38" s="8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65">$E$4*E$7*E$8*E$9</f>
        <v>0</v>
      </c>
      <c r="T39" s="20">
        <f t="shared" si="65"/>
        <v>0</v>
      </c>
      <c r="U39" s="20">
        <f t="shared" si="65"/>
        <v>0</v>
      </c>
      <c r="V39" s="20">
        <f t="shared" si="65"/>
        <v>0</v>
      </c>
      <c r="W39" s="20">
        <f t="shared" si="65"/>
        <v>0</v>
      </c>
      <c r="X39" s="20">
        <f t="shared" si="65"/>
        <v>0</v>
      </c>
      <c r="Y39" s="20">
        <f t="shared" si="65"/>
        <v>0</v>
      </c>
      <c r="Z39" s="20">
        <f t="shared" si="65"/>
        <v>0</v>
      </c>
      <c r="AA39" s="20">
        <f t="shared" si="65"/>
        <v>0</v>
      </c>
      <c r="AB39" s="20">
        <f t="shared" si="65"/>
        <v>0</v>
      </c>
      <c r="AC39" s="29" cm="1">
        <f t="array" ref="AC39">$E$4*(SUMPRODUCT($E$7:$N$7,$E$8:$N$8,$E$9:$N$9))</f>
        <v>0</v>
      </c>
      <c r="AD39" s="27" t="e">
        <f>AC39/$AC$40</f>
        <v>#DIV/0!</v>
      </c>
      <c r="AE39" s="29"/>
      <c r="AF39" s="73"/>
      <c r="AG39" s="22" t="s">
        <v>13</v>
      </c>
      <c r="AH39" s="23" t="s">
        <v>49</v>
      </c>
      <c r="AI39" s="23"/>
      <c r="AJ39" s="24" t="str" cm="1">
        <f t="array" ref="AJ39">IF($E$3="纯租赁",IF(AJ38*12&lt;=$E$12,$E$4*SUMPRODUCT($E$7:$N$7,$E$8:$N$8,$E$9:$N$9)*$E$10,""),IF(AJ38*12&lt;=$E$28,$E$4*SUMPRODUCT($E$7:$N$7,$E$8:$N$8,$E$9:$N$9)*$E$10,""))</f>
        <v/>
      </c>
      <c r="AK39" s="24" t="str" cm="1">
        <f t="array" ref="AK39">IF($E$3="纯租赁",IF(AK38*12&lt;=$E$12,$E$4*SUMPRODUCT($E$7:$N$7,$E$8:$N$8,$E$9:$N$9)*$E$10,""),IF(AK38*12&lt;=$E$28,$E$4*SUMPRODUCT($E$7:$N$7,$E$8:$N$8,$E$9:$N$9)*$E$10,""))</f>
        <v/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66">S39</f>
        <v>0</v>
      </c>
      <c r="T40" s="76">
        <f t="shared" si="66"/>
        <v>0</v>
      </c>
      <c r="U40" s="76">
        <f t="shared" si="66"/>
        <v>0</v>
      </c>
      <c r="V40" s="76">
        <f t="shared" si="66"/>
        <v>0</v>
      </c>
      <c r="W40" s="76">
        <f t="shared" si="66"/>
        <v>0</v>
      </c>
      <c r="X40" s="76">
        <f t="shared" si="66"/>
        <v>0</v>
      </c>
      <c r="Y40" s="76">
        <f t="shared" si="66"/>
        <v>0</v>
      </c>
      <c r="Z40" s="76">
        <f t="shared" si="66"/>
        <v>0</v>
      </c>
      <c r="AA40" s="76">
        <f t="shared" si="66"/>
        <v>0</v>
      </c>
      <c r="AB40" s="76">
        <f t="shared" si="66"/>
        <v>0</v>
      </c>
      <c r="AC40" s="77">
        <f t="shared" si="66"/>
        <v>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t="e" cm="1">
        <f t="array" ref="S41">$AC41*E$6*E$9/(SUMPRODUCT($E$6:$N$6,$E$9:$N$9))</f>
        <v>#DIV/0!</v>
      </c>
      <c r="T41" s="29" t="e" cm="1">
        <f t="array" ref="T41">$AC41*F$6*F$9/(SUMPRODUCT($E$6:$N$6,$E$9:$N$9))</f>
        <v>#DIV/0!</v>
      </c>
      <c r="U41" s="29" t="e" cm="1">
        <f t="array" ref="U41">$AC41*G$6*G$9/(SUMPRODUCT($E$6:$N$6,$E$9:$N$9))</f>
        <v>#DIV/0!</v>
      </c>
      <c r="V41" s="29" t="e" cm="1">
        <f t="array" ref="V41">$AC41*H$6*H$9/(SUMPRODUCT($E$6:$N$6,$E$9:$N$9))</f>
        <v>#DIV/0!</v>
      </c>
      <c r="W41" s="29" t="e" cm="1">
        <f t="array" ref="W41">$AC41*I$6*I$9/(SUMPRODUCT($E$6:$N$6,$E$9:$N$9))</f>
        <v>#DIV/0!</v>
      </c>
      <c r="X41" s="29" t="e" cm="1">
        <f t="array" ref="X41">$AC41*J$6*J$9/(SUMPRODUCT($E$6:$N$6,$E$9:$N$9))</f>
        <v>#DIV/0!</v>
      </c>
      <c r="Y41" s="29" t="e" cm="1">
        <f t="array" ref="Y41">$AC41*K$6*K$9/(SUMPRODUCT($E$6:$N$6,$E$9:$N$9))</f>
        <v>#DIV/0!</v>
      </c>
      <c r="Z41" s="29" t="e" cm="1">
        <f t="array" ref="Z41">$AC41*L$6*L$9/(SUMPRODUCT($E$6:$N$6,$E$9:$N$9))</f>
        <v>#DIV/0!</v>
      </c>
      <c r="AA41" s="29" t="e" cm="1">
        <f t="array" ref="AA41">$AC41*M$6*M$9/(SUMPRODUCT($E$6:$N$6,$E$9:$N$9))</f>
        <v>#DIV/0!</v>
      </c>
      <c r="AB41" s="29" t="e" cm="1">
        <f t="array" ref="AB41">$AC41*N$6*N$9/(SUMPRODUCT($E$6:$N$6,$E$9:$N$9))</f>
        <v>#DIV/0!</v>
      </c>
      <c r="AC41" s="29" t="e">
        <f>IF($E$3="纯租赁",$E$4*$E$13*12/$E$10,$E$4*($E$11/$E$28+$E$13)*12/$E$10)</f>
        <v>#DIV/0!</v>
      </c>
      <c r="AD41" s="27" t="e">
        <f t="shared" ref="AD41:AD57" si="67">AC41/$AC$61</f>
        <v>#DIV/0!</v>
      </c>
      <c r="AE41" s="29"/>
      <c r="AF41" s="73"/>
      <c r="AG41" s="28"/>
      <c r="AH41" s="1" t="s">
        <v>57</v>
      </c>
      <c r="AI41" s="35"/>
      <c r="AJ41" s="29" t="str">
        <f t="shared" ref="AJ41:AU41" si="68">IF($E$3="纯租赁",IF(AJ38*12&lt;=$E$12,$E$4*$E$13*12,""),IF(AJ38*12&lt;=$E$12,$E$4*$E$13*12,IF(AJ38*12&lt;=$E$28,MOD($E$12,12)*$E$13*$E$4,"")))</f>
        <v/>
      </c>
      <c r="AK41" s="29" t="str">
        <f t="shared" si="68"/>
        <v/>
      </c>
      <c r="AL41" s="29" t="str">
        <f t="shared" si="68"/>
        <v/>
      </c>
      <c r="AM41" s="29" t="str">
        <f t="shared" si="68"/>
        <v/>
      </c>
      <c r="AN41" s="29" t="str">
        <f t="shared" si="68"/>
        <v/>
      </c>
      <c r="AO41" s="29" t="str">
        <f t="shared" si="68"/>
        <v/>
      </c>
      <c r="AP41" s="29" t="str">
        <f t="shared" si="68"/>
        <v/>
      </c>
      <c r="AQ41" s="29" t="str">
        <f t="shared" si="68"/>
        <v/>
      </c>
      <c r="AR41" s="29" t="str">
        <f t="shared" si="68"/>
        <v/>
      </c>
      <c r="AS41" s="29" t="str">
        <f t="shared" si="68"/>
        <v/>
      </c>
      <c r="AT41" s="29" t="str">
        <f t="shared" si="68"/>
        <v/>
      </c>
      <c r="AU41" s="29" t="str">
        <f t="shared" si="68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t="e" cm="1">
        <f t="array" ref="S42">$AC42*E$6*E$9/(SUMPRODUCT($E$6:$N$6,$E$9:$N$9))</f>
        <v>#DIV/0!</v>
      </c>
      <c r="T42" s="29" t="e" cm="1">
        <f t="array" ref="T42">$AC42*F$6*F$9/(SUMPRODUCT($E$6:$N$6,$E$9:$N$9))</f>
        <v>#DIV/0!</v>
      </c>
      <c r="U42" s="29" t="e" cm="1">
        <f t="array" ref="U42">$AC42*G$6*G$9/(SUMPRODUCT($E$6:$N$6,$E$9:$N$9))</f>
        <v>#DIV/0!</v>
      </c>
      <c r="V42" s="29" t="e" cm="1">
        <f t="array" ref="V42">$AC42*H$6*H$9/(SUMPRODUCT($E$6:$N$6,$E$9:$N$9))</f>
        <v>#DIV/0!</v>
      </c>
      <c r="W42" s="29" t="e" cm="1">
        <f t="array" ref="W42">$AC42*I$6*I$9/(SUMPRODUCT($E$6:$N$6,$E$9:$N$9))</f>
        <v>#DIV/0!</v>
      </c>
      <c r="X42" s="29" t="e" cm="1">
        <f t="array" ref="X42">$AC42*J$6*J$9/(SUMPRODUCT($E$6:$N$6,$E$9:$N$9))</f>
        <v>#DIV/0!</v>
      </c>
      <c r="Y42" s="29" t="e" cm="1">
        <f t="array" ref="Y42">$AC42*K$6*K$9/(SUMPRODUCT($E$6:$N$6,$E$9:$N$9))</f>
        <v>#DIV/0!</v>
      </c>
      <c r="Z42" s="29" t="e" cm="1">
        <f t="array" ref="Z42">$AC42*L$6*L$9/(SUMPRODUCT($E$6:$N$6,$E$9:$N$9))</f>
        <v>#DIV/0!</v>
      </c>
      <c r="AA42" s="29" t="e" cm="1">
        <f t="array" ref="AA42">$AC42*M$6*M$9/(SUMPRODUCT($E$6:$N$6,$E$9:$N$9))</f>
        <v>#DIV/0!</v>
      </c>
      <c r="AB42" s="29" t="e" cm="1">
        <f t="array" ref="AB42">$AC42*N$6*N$9/(SUMPRODUCT($E$6:$N$6,$E$9:$N$9))</f>
        <v>#DIV/0!</v>
      </c>
      <c r="AC42" s="29" t="e">
        <f>$E$14*$E$4*12/$E$10</f>
        <v>#DIV/0!</v>
      </c>
      <c r="AD42" s="27" t="e">
        <f t="shared" si="67"/>
        <v>#DIV/0!</v>
      </c>
      <c r="AE42" s="29"/>
      <c r="AF42" s="73"/>
      <c r="AG42" s="28"/>
      <c r="AH42" s="1" t="s">
        <v>61</v>
      </c>
      <c r="AI42" s="35"/>
      <c r="AJ42" s="29" t="str">
        <f t="shared" ref="AJ42:AU42" si="69">IF($E$3="纯租赁",IF(AJ38*12&lt;=$E$12,$E$14*$E$4*12,""),IF(AJ38*12&lt;=$E$28,$E$14*$E$4*12,""))</f>
        <v/>
      </c>
      <c r="AK42" s="29" t="str">
        <f t="shared" si="69"/>
        <v/>
      </c>
      <c r="AL42" s="29" t="str">
        <f t="shared" si="69"/>
        <v/>
      </c>
      <c r="AM42" s="29" t="str">
        <f t="shared" si="69"/>
        <v/>
      </c>
      <c r="AN42" s="29" t="str">
        <f t="shared" si="69"/>
        <v/>
      </c>
      <c r="AO42" s="29" t="str">
        <f t="shared" si="69"/>
        <v/>
      </c>
      <c r="AP42" s="29" t="str">
        <f t="shared" si="69"/>
        <v/>
      </c>
      <c r="AQ42" s="29" t="str">
        <f t="shared" si="69"/>
        <v/>
      </c>
      <c r="AR42" s="29" t="str">
        <f t="shared" si="69"/>
        <v/>
      </c>
      <c r="AS42" s="29" t="str">
        <f t="shared" si="69"/>
        <v/>
      </c>
      <c r="AT42" s="29" t="str">
        <f t="shared" si="69"/>
        <v/>
      </c>
      <c r="AU42" s="29" t="str">
        <f t="shared" si="69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t="e" cm="1">
        <f t="array" ref="S43">$AC43*E$6*E$9/(SUMPRODUCT($E$6:$N$6,$E$9:$N$9))</f>
        <v>#DIV/0!</v>
      </c>
      <c r="T43" s="29" t="e" cm="1">
        <f t="array" ref="T43">$AC43*F$6*F$9/(SUMPRODUCT($E$6:$N$6,$E$9:$N$9))</f>
        <v>#DIV/0!</v>
      </c>
      <c r="U43" s="29" t="e" cm="1">
        <f t="array" ref="U43">$AC43*G$6*G$9/(SUMPRODUCT($E$6:$N$6,$E$9:$N$9))</f>
        <v>#DIV/0!</v>
      </c>
      <c r="V43" s="29" t="e" cm="1">
        <f t="array" ref="V43">$AC43*H$6*H$9/(SUMPRODUCT($E$6:$N$6,$E$9:$N$9))</f>
        <v>#DIV/0!</v>
      </c>
      <c r="W43" s="29" t="e" cm="1">
        <f t="array" ref="W43">$AC43*I$6*I$9/(SUMPRODUCT($E$6:$N$6,$E$9:$N$9))</f>
        <v>#DIV/0!</v>
      </c>
      <c r="X43" s="29" t="e" cm="1">
        <f t="array" ref="X43">$AC43*J$6*J$9/(SUMPRODUCT($E$6:$N$6,$E$9:$N$9))</f>
        <v>#DIV/0!</v>
      </c>
      <c r="Y43" s="29" t="e" cm="1">
        <f t="array" ref="Y43">$AC43*K$6*K$9/(SUMPRODUCT($E$6:$N$6,$E$9:$N$9))</f>
        <v>#DIV/0!</v>
      </c>
      <c r="Z43" s="29" t="e" cm="1">
        <f t="array" ref="Z43">$AC43*L$6*L$9/(SUMPRODUCT($E$6:$N$6,$E$9:$N$9))</f>
        <v>#DIV/0!</v>
      </c>
      <c r="AA43" s="29" t="e" cm="1">
        <f t="array" ref="AA43">$AC43*M$6*M$9/(SUMPRODUCT($E$6:$N$6,$E$9:$N$9))</f>
        <v>#DIV/0!</v>
      </c>
      <c r="AB43" s="29" t="e" cm="1">
        <f t="array" ref="AB43">$AC43*N$6*N$9/(SUMPRODUCT($E$6:$N$6,$E$9:$N$9))</f>
        <v>#DIV/0!</v>
      </c>
      <c r="AC43" s="29" t="e">
        <f>$E$4*$E$15*12/$E$10</f>
        <v>#DIV/0!</v>
      </c>
      <c r="AD43" s="27" t="e">
        <f t="shared" si="67"/>
        <v>#DIV/0!</v>
      </c>
      <c r="AE43" s="29"/>
      <c r="AF43" s="73"/>
      <c r="AG43" s="28"/>
      <c r="AH43" s="1" t="s">
        <v>64</v>
      </c>
      <c r="AI43" s="35"/>
      <c r="AJ43" s="29" t="str">
        <f t="shared" ref="AJ43:AU43" si="70">IF($E$3="纯租赁",IF(AJ38*12&lt;=$E$12,$E$4*$E$15*12,""),IF(AJ38*12&lt;=$E$28,$E$4*$E$15*12,""))</f>
        <v/>
      </c>
      <c r="AK43" s="29" t="str">
        <f t="shared" si="70"/>
        <v/>
      </c>
      <c r="AL43" s="29" t="str">
        <f t="shared" si="70"/>
        <v/>
      </c>
      <c r="AM43" s="29" t="str">
        <f t="shared" si="70"/>
        <v/>
      </c>
      <c r="AN43" s="29" t="str">
        <f t="shared" si="70"/>
        <v/>
      </c>
      <c r="AO43" s="29" t="str">
        <f t="shared" si="70"/>
        <v/>
      </c>
      <c r="AP43" s="29" t="str">
        <f t="shared" si="70"/>
        <v/>
      </c>
      <c r="AQ43" s="29" t="str">
        <f t="shared" si="70"/>
        <v/>
      </c>
      <c r="AR43" s="29" t="str">
        <f t="shared" si="70"/>
        <v/>
      </c>
      <c r="AS43" s="29" t="str">
        <f t="shared" si="70"/>
        <v/>
      </c>
      <c r="AT43" s="29" t="str">
        <f t="shared" si="70"/>
        <v/>
      </c>
      <c r="AU43" s="29" t="str">
        <f t="shared" si="70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t="e" cm="1">
        <f t="array" ref="S44">$AC44*E$6*E$9/(SUMPRODUCT($E$6:$N$6,$E$9:$N$9))</f>
        <v>#DIV/0!</v>
      </c>
      <c r="T44" s="29" t="e" cm="1">
        <f t="array" ref="T44">$AC44*F$6*F$9/(SUMPRODUCT($E$6:$N$6,$E$9:$N$9))</f>
        <v>#DIV/0!</v>
      </c>
      <c r="U44" s="29" t="e" cm="1">
        <f t="array" ref="U44">$AC44*G$6*G$9/(SUMPRODUCT($E$6:$N$6,$E$9:$N$9))</f>
        <v>#DIV/0!</v>
      </c>
      <c r="V44" s="29" t="e" cm="1">
        <f t="array" ref="V44">$AC44*H$6*H$9/(SUMPRODUCT($E$6:$N$6,$E$9:$N$9))</f>
        <v>#DIV/0!</v>
      </c>
      <c r="W44" s="29" t="e" cm="1">
        <f t="array" ref="W44">$AC44*I$6*I$9/(SUMPRODUCT($E$6:$N$6,$E$9:$N$9))</f>
        <v>#DIV/0!</v>
      </c>
      <c r="X44" s="29" t="e" cm="1">
        <f t="array" ref="X44">$AC44*J$6*J$9/(SUMPRODUCT($E$6:$N$6,$E$9:$N$9))</f>
        <v>#DIV/0!</v>
      </c>
      <c r="Y44" s="29" t="e" cm="1">
        <f t="array" ref="Y44">$AC44*K$6*K$9/(SUMPRODUCT($E$6:$N$6,$E$9:$N$9))</f>
        <v>#DIV/0!</v>
      </c>
      <c r="Z44" s="29" t="e" cm="1">
        <f t="array" ref="Z44">$AC44*L$6*L$9/(SUMPRODUCT($E$6:$N$6,$E$9:$N$9))</f>
        <v>#DIV/0!</v>
      </c>
      <c r="AA44" s="29" t="e" cm="1">
        <f t="array" ref="AA44">$AC44*M$6*M$9/(SUMPRODUCT($E$6:$N$6,$E$9:$N$9))</f>
        <v>#DIV/0!</v>
      </c>
      <c r="AB44" s="29" t="e" cm="1">
        <f t="array" ref="AB44">$AC44*N$6*N$9/(SUMPRODUCT($E$6:$N$6,$E$9:$N$9))</f>
        <v>#DIV/0!</v>
      </c>
      <c r="AC44" s="29" t="e">
        <f>$E$4*$E$16*12/$E$10</f>
        <v>#DIV/0!</v>
      </c>
      <c r="AD44" s="27" t="e">
        <f t="shared" si="67"/>
        <v>#DIV/0!</v>
      </c>
      <c r="AE44" s="29"/>
      <c r="AF44" s="29"/>
      <c r="AG44" s="28"/>
      <c r="AH44" s="1" t="s">
        <v>68</v>
      </c>
      <c r="AI44" s="35"/>
      <c r="AJ44" s="29" t="str">
        <f t="shared" ref="AJ44:AU44" si="71">IF($E$3="纯租赁",IF(AJ38*12&lt;=$E$12,$E$4*$E$16*12,""),IF(AJ38*12&lt;=$E$28,$E$4*$E$16*12,""))</f>
        <v/>
      </c>
      <c r="AK44" s="29" t="str">
        <f t="shared" si="71"/>
        <v/>
      </c>
      <c r="AL44" s="29" t="str">
        <f t="shared" si="71"/>
        <v/>
      </c>
      <c r="AM44" s="29" t="str">
        <f t="shared" si="71"/>
        <v/>
      </c>
      <c r="AN44" s="29" t="str">
        <f t="shared" si="71"/>
        <v/>
      </c>
      <c r="AO44" s="29" t="str">
        <f t="shared" si="71"/>
        <v/>
      </c>
      <c r="AP44" s="29" t="str">
        <f t="shared" si="71"/>
        <v/>
      </c>
      <c r="AQ44" s="29" t="str">
        <f t="shared" si="71"/>
        <v/>
      </c>
      <c r="AR44" s="29" t="str">
        <f t="shared" si="71"/>
        <v/>
      </c>
      <c r="AS44" s="29" t="str">
        <f t="shared" si="71"/>
        <v/>
      </c>
      <c r="AT44" s="29" t="str">
        <f t="shared" si="71"/>
        <v/>
      </c>
      <c r="AU44" s="29" t="str">
        <f t="shared" si="71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t="e" cm="1">
        <f t="array" ref="S45">$AC45*E$6*E$9/(SUMPRODUCT($E$6:$N$6,$E$9:$N$9))</f>
        <v>#DIV/0!</v>
      </c>
      <c r="T45" s="29" t="e" cm="1">
        <f t="array" ref="T45">$AC45*F$6*F$9/(SUMPRODUCT($E$6:$N$6,$E$9:$N$9))</f>
        <v>#DIV/0!</v>
      </c>
      <c r="U45" s="29" t="e" cm="1">
        <f t="array" ref="U45">$AC45*G$6*G$9/(SUMPRODUCT($E$6:$N$6,$E$9:$N$9))</f>
        <v>#DIV/0!</v>
      </c>
      <c r="V45" s="29" t="e" cm="1">
        <f t="array" ref="V45">$AC45*H$6*H$9/(SUMPRODUCT($E$6:$N$6,$E$9:$N$9))</f>
        <v>#DIV/0!</v>
      </c>
      <c r="W45" s="29" t="e" cm="1">
        <f t="array" ref="W45">$AC45*I$6*I$9/(SUMPRODUCT($E$6:$N$6,$E$9:$N$9))</f>
        <v>#DIV/0!</v>
      </c>
      <c r="X45" s="29" t="e" cm="1">
        <f t="array" ref="X45">$AC45*J$6*J$9/(SUMPRODUCT($E$6:$N$6,$E$9:$N$9))</f>
        <v>#DIV/0!</v>
      </c>
      <c r="Y45" s="29" t="e" cm="1">
        <f t="array" ref="Y45">$AC45*K$6*K$9/(SUMPRODUCT($E$6:$N$6,$E$9:$N$9))</f>
        <v>#DIV/0!</v>
      </c>
      <c r="Z45" s="29" t="e" cm="1">
        <f t="array" ref="Z45">$AC45*L$6*L$9/(SUMPRODUCT($E$6:$N$6,$E$9:$N$9))</f>
        <v>#DIV/0!</v>
      </c>
      <c r="AA45" s="29" t="e" cm="1">
        <f t="array" ref="AA45">$AC45*M$6*M$9/(SUMPRODUCT($E$6:$N$6,$E$9:$N$9))</f>
        <v>#DIV/0!</v>
      </c>
      <c r="AB45" s="29" t="e" cm="1">
        <f t="array" ref="AB45">$AC45*N$6*N$9/(SUMPRODUCT($E$6:$N$6,$E$9:$N$9))</f>
        <v>#DIV/0!</v>
      </c>
      <c r="AC45" s="29" t="e">
        <f>$E$4*$E$17*12/$E$10</f>
        <v>#DIV/0!</v>
      </c>
      <c r="AD45" s="27" t="e">
        <f t="shared" si="67"/>
        <v>#DIV/0!</v>
      </c>
      <c r="AE45" s="29"/>
      <c r="AF45" s="29"/>
      <c r="AG45" s="28"/>
      <c r="AH45" s="1" t="s">
        <v>71</v>
      </c>
      <c r="AI45" s="35"/>
      <c r="AJ45" s="29" t="str">
        <f t="shared" ref="AJ45:AU45" si="72">IF($E$3="纯租赁",IF(AJ38*12&lt;=$E$12,$E$4*$E$17*12,""),IF(AJ38*12&lt;=$E$28,$E$4*$E$17*12,""))</f>
        <v/>
      </c>
      <c r="AK45" s="29" t="str">
        <f t="shared" si="72"/>
        <v/>
      </c>
      <c r="AL45" s="29" t="str">
        <f t="shared" si="72"/>
        <v/>
      </c>
      <c r="AM45" s="29" t="str">
        <f t="shared" si="72"/>
        <v/>
      </c>
      <c r="AN45" s="29" t="str">
        <f t="shared" si="72"/>
        <v/>
      </c>
      <c r="AO45" s="29" t="str">
        <f t="shared" si="72"/>
        <v/>
      </c>
      <c r="AP45" s="29" t="str">
        <f t="shared" si="72"/>
        <v/>
      </c>
      <c r="AQ45" s="29" t="str">
        <f t="shared" si="72"/>
        <v/>
      </c>
      <c r="AR45" s="29" t="str">
        <f t="shared" si="72"/>
        <v/>
      </c>
      <c r="AS45" s="29" t="str">
        <f t="shared" si="72"/>
        <v/>
      </c>
      <c r="AT45" s="29" t="str">
        <f t="shared" si="72"/>
        <v/>
      </c>
      <c r="AU45" s="29" t="str">
        <f t="shared" si="72"/>
        <v/>
      </c>
    </row>
    <row r="46" spans="1:63">
      <c r="P46" s="40"/>
      <c r="Q46" s="28"/>
      <c r="R46" s="35" t="s">
        <v>74</v>
      </c>
      <c r="S46" s="29" t="e" cm="1">
        <f t="array" ref="S46">$AC46*E$6*E$9/(SUMPRODUCT($E$6:$N$6,$E$9:$N$9))</f>
        <v>#DIV/0!</v>
      </c>
      <c r="T46" s="29" t="e" cm="1">
        <f t="array" ref="T46">$AC46*F$6*F$9/(SUMPRODUCT($E$6:$N$6,$E$9:$N$9))</f>
        <v>#DIV/0!</v>
      </c>
      <c r="U46" s="29" t="e" cm="1">
        <f t="array" ref="U46">$AC46*G$6*G$9/(SUMPRODUCT($E$6:$N$6,$E$9:$N$9))</f>
        <v>#DIV/0!</v>
      </c>
      <c r="V46" s="29" t="e" cm="1">
        <f t="array" ref="V46">$AC46*H$6*H$9/(SUMPRODUCT($E$6:$N$6,$E$9:$N$9))</f>
        <v>#DIV/0!</v>
      </c>
      <c r="W46" s="29" t="e" cm="1">
        <f t="array" ref="W46">$AC46*I$6*I$9/(SUMPRODUCT($E$6:$N$6,$E$9:$N$9))</f>
        <v>#DIV/0!</v>
      </c>
      <c r="X46" s="29" t="e" cm="1">
        <f t="array" ref="X46">$AC46*J$6*J$9/(SUMPRODUCT($E$6:$N$6,$E$9:$N$9))</f>
        <v>#DIV/0!</v>
      </c>
      <c r="Y46" s="29" t="e" cm="1">
        <f t="array" ref="Y46">$AC46*K$6*K$9/(SUMPRODUCT($E$6:$N$6,$E$9:$N$9))</f>
        <v>#DIV/0!</v>
      </c>
      <c r="Z46" s="29" t="e" cm="1">
        <f t="array" ref="Z46">$AC46*L$6*L$9/(SUMPRODUCT($E$6:$N$6,$E$9:$N$9))</f>
        <v>#DIV/0!</v>
      </c>
      <c r="AA46" s="29" t="e" cm="1">
        <f t="array" ref="AA46">$AC46*M$6*M$9/(SUMPRODUCT($E$6:$N$6,$E$9:$N$9))</f>
        <v>#DIV/0!</v>
      </c>
      <c r="AB46" s="29" t="e" cm="1">
        <f t="array" ref="AB46">$AC46*N$6*N$9/(SUMPRODUCT($E$6:$N$6,$E$9:$N$9))</f>
        <v>#DIV/0!</v>
      </c>
      <c r="AC46" s="29" t="e">
        <f>$E$4*$E$18*12/$E$10</f>
        <v>#DIV/0!</v>
      </c>
      <c r="AD46" s="27" t="e">
        <f t="shared" si="67"/>
        <v>#DIV/0!</v>
      </c>
      <c r="AE46" s="29"/>
      <c r="AF46" s="29"/>
      <c r="AG46" s="28"/>
      <c r="AH46" s="1" t="s">
        <v>74</v>
      </c>
      <c r="AI46" s="35"/>
      <c r="AJ46" s="29" t="str">
        <f t="shared" ref="AJ46:AU46" si="73">IF($E$3="纯租赁",IF(AJ38*12&lt;=$E$12,$E$4*$E$18*12,""),IF(AJ38*12&lt;=$E$28,$E$4*$E$18*12,""))</f>
        <v/>
      </c>
      <c r="AK46" s="29" t="str">
        <f t="shared" si="73"/>
        <v/>
      </c>
      <c r="AL46" s="29" t="str">
        <f t="shared" si="73"/>
        <v/>
      </c>
      <c r="AM46" s="29" t="str">
        <f t="shared" si="73"/>
        <v/>
      </c>
      <c r="AN46" s="29" t="str">
        <f t="shared" si="73"/>
        <v/>
      </c>
      <c r="AO46" s="29" t="str">
        <f t="shared" si="73"/>
        <v/>
      </c>
      <c r="AP46" s="29" t="str">
        <f t="shared" si="73"/>
        <v/>
      </c>
      <c r="AQ46" s="29" t="str">
        <f t="shared" si="73"/>
        <v/>
      </c>
      <c r="AR46" s="29" t="str">
        <f t="shared" si="73"/>
        <v/>
      </c>
      <c r="AS46" s="29" t="str">
        <f t="shared" si="73"/>
        <v/>
      </c>
      <c r="AT46" s="29" t="str">
        <f t="shared" si="73"/>
        <v/>
      </c>
      <c r="AU46" s="29" t="str">
        <f t="shared" si="73"/>
        <v/>
      </c>
    </row>
    <row r="47" spans="1:63">
      <c r="P47" s="40"/>
      <c r="Q47" s="28"/>
      <c r="R47" s="35" t="s">
        <v>78</v>
      </c>
      <c r="S47" s="29" t="e" cm="1">
        <f t="array" ref="S47">$AC47*E$6*E$9/(SUMPRODUCT($E$6:$N$6,$E$9:$N$9))</f>
        <v>#DIV/0!</v>
      </c>
      <c r="T47" s="29" t="e" cm="1">
        <f t="array" ref="T47">$AC47*F$6*F$9/(SUMPRODUCT($E$6:$N$6,$E$9:$N$9))</f>
        <v>#DIV/0!</v>
      </c>
      <c r="U47" s="29" t="e" cm="1">
        <f t="array" ref="U47">$AC47*G$6*G$9/(SUMPRODUCT($E$6:$N$6,$E$9:$N$9))</f>
        <v>#DIV/0!</v>
      </c>
      <c r="V47" s="29" t="e" cm="1">
        <f t="array" ref="V47">$AC47*H$6*H$9/(SUMPRODUCT($E$6:$N$6,$E$9:$N$9))</f>
        <v>#DIV/0!</v>
      </c>
      <c r="W47" s="29" t="e" cm="1">
        <f t="array" ref="W47">$AC47*I$6*I$9/(SUMPRODUCT($E$6:$N$6,$E$9:$N$9))</f>
        <v>#DIV/0!</v>
      </c>
      <c r="X47" s="29" t="e" cm="1">
        <f t="array" ref="X47">$AC47*J$6*J$9/(SUMPRODUCT($E$6:$N$6,$E$9:$N$9))</f>
        <v>#DIV/0!</v>
      </c>
      <c r="Y47" s="29" t="e" cm="1">
        <f t="array" ref="Y47">$AC47*K$6*K$9/(SUMPRODUCT($E$6:$N$6,$E$9:$N$9))</f>
        <v>#DIV/0!</v>
      </c>
      <c r="Z47" s="29" t="e" cm="1">
        <f t="array" ref="Z47">$AC47*L$6*L$9/(SUMPRODUCT($E$6:$N$6,$E$9:$N$9))</f>
        <v>#DIV/0!</v>
      </c>
      <c r="AA47" s="29" t="e" cm="1">
        <f t="array" ref="AA47">$AC47*M$6*M$9/(SUMPRODUCT($E$6:$N$6,$E$9:$N$9))</f>
        <v>#DIV/0!</v>
      </c>
      <c r="AB47" s="29" t="e" cm="1">
        <f t="array" ref="AB47">$AC47*N$6*N$9/(SUMPRODUCT($E$6:$N$6,$E$9:$N$9))</f>
        <v>#DIV/0!</v>
      </c>
      <c r="AC47" s="29" t="e">
        <f>$E$4*$E$19*12/$E$10</f>
        <v>#DIV/0!</v>
      </c>
      <c r="AD47" s="27" t="e">
        <f t="shared" si="67"/>
        <v>#DIV/0!</v>
      </c>
      <c r="AE47" s="29"/>
      <c r="AF47" s="29"/>
      <c r="AG47" s="28"/>
      <c r="AH47" s="1" t="s">
        <v>78</v>
      </c>
      <c r="AI47" s="35"/>
      <c r="AJ47" s="29" t="str">
        <f t="shared" ref="AJ47:AU47" si="74">IF($E$3="纯租赁",IF(AJ38*12&lt;=$E$12,$E$4*$E$19*12,""),IF(AJ38*12&lt;=$E$28,$E$4*$E$19*12,""))</f>
        <v/>
      </c>
      <c r="AK47" s="29" t="str">
        <f t="shared" si="74"/>
        <v/>
      </c>
      <c r="AL47" s="29" t="str">
        <f t="shared" si="74"/>
        <v/>
      </c>
      <c r="AM47" s="29" t="str">
        <f t="shared" si="74"/>
        <v/>
      </c>
      <c r="AN47" s="29" t="str">
        <f t="shared" si="74"/>
        <v/>
      </c>
      <c r="AO47" s="29" t="str">
        <f t="shared" si="74"/>
        <v/>
      </c>
      <c r="AP47" s="29" t="str">
        <f t="shared" si="74"/>
        <v/>
      </c>
      <c r="AQ47" s="29" t="str">
        <f t="shared" si="74"/>
        <v/>
      </c>
      <c r="AR47" s="29" t="str">
        <f t="shared" si="74"/>
        <v/>
      </c>
      <c r="AS47" s="29" t="str">
        <f t="shared" si="74"/>
        <v/>
      </c>
      <c r="AT47" s="29" t="str">
        <f t="shared" si="74"/>
        <v/>
      </c>
      <c r="AU47" s="29" t="str">
        <f t="shared" si="74"/>
        <v/>
      </c>
    </row>
    <row r="48" spans="1:63">
      <c r="P48" s="40"/>
      <c r="Q48" s="28"/>
      <c r="R48" s="35" t="s">
        <v>82</v>
      </c>
      <c r="S48" s="29" t="e" cm="1">
        <f t="array" ref="S48">$AC48*E$6*E$9/(SUMPRODUCT($E$6:$N$6,$E$9:$N$9))</f>
        <v>#DIV/0!</v>
      </c>
      <c r="T48" s="29" t="e" cm="1">
        <f t="array" ref="T48">$AC48*F$6*F$9/(SUMPRODUCT($E$6:$N$6,$E$9:$N$9))</f>
        <v>#DIV/0!</v>
      </c>
      <c r="U48" s="29" t="e" cm="1">
        <f t="array" ref="U48">$AC48*G$6*G$9/(SUMPRODUCT($E$6:$N$6,$E$9:$N$9))</f>
        <v>#DIV/0!</v>
      </c>
      <c r="V48" s="29" t="e" cm="1">
        <f t="array" ref="V48">$AC48*H$6*H$9/(SUMPRODUCT($E$6:$N$6,$E$9:$N$9))</f>
        <v>#DIV/0!</v>
      </c>
      <c r="W48" s="29" t="e" cm="1">
        <f t="array" ref="W48">$AC48*I$6*I$9/(SUMPRODUCT($E$6:$N$6,$E$9:$N$9))</f>
        <v>#DIV/0!</v>
      </c>
      <c r="X48" s="29" t="e" cm="1">
        <f t="array" ref="X48">$AC48*J$6*J$9/(SUMPRODUCT($E$6:$N$6,$E$9:$N$9))</f>
        <v>#DIV/0!</v>
      </c>
      <c r="Y48" s="29" t="e" cm="1">
        <f t="array" ref="Y48">$AC48*K$6*K$9/(SUMPRODUCT($E$6:$N$6,$E$9:$N$9))</f>
        <v>#DIV/0!</v>
      </c>
      <c r="Z48" s="29" t="e" cm="1">
        <f t="array" ref="Z48">$AC48*L$6*L$9/(SUMPRODUCT($E$6:$N$6,$E$9:$N$9))</f>
        <v>#DIV/0!</v>
      </c>
      <c r="AA48" s="29" t="e" cm="1">
        <f t="array" ref="AA48">$AC48*M$6*M$9/(SUMPRODUCT($E$6:$N$6,$E$9:$N$9))</f>
        <v>#DIV/0!</v>
      </c>
      <c r="AB48" s="29" t="e" cm="1">
        <f t="array" ref="AB48">$AC48*N$6*N$9/(SUMPRODUCT($E$6:$N$6,$E$9:$N$9))</f>
        <v>#DIV/0!</v>
      </c>
      <c r="AC48" s="29" t="e">
        <f>$E$4*$E$20*12/$E$10</f>
        <v>#DIV/0!</v>
      </c>
      <c r="AD48" s="27" t="e">
        <f t="shared" si="67"/>
        <v>#DIV/0!</v>
      </c>
      <c r="AE48" s="29"/>
      <c r="AF48" s="29"/>
      <c r="AG48" s="28"/>
      <c r="AH48" s="1" t="s">
        <v>82</v>
      </c>
      <c r="AI48" s="35"/>
      <c r="AJ48" s="29" t="str">
        <f t="shared" ref="AJ48:AU48" si="75">IF($E$3="纯租赁",IF(AJ38*12&lt;=$E$12,$E$4*$E$20*12,""),IF(AJ38*12&lt;=$E$28,$E$4*$E$20*12,""))</f>
        <v/>
      </c>
      <c r="AK48" s="29" t="str">
        <f t="shared" si="75"/>
        <v/>
      </c>
      <c r="AL48" s="29" t="str">
        <f t="shared" si="75"/>
        <v/>
      </c>
      <c r="AM48" s="29" t="str">
        <f t="shared" si="75"/>
        <v/>
      </c>
      <c r="AN48" s="29" t="str">
        <f t="shared" si="75"/>
        <v/>
      </c>
      <c r="AO48" s="29" t="str">
        <f t="shared" si="75"/>
        <v/>
      </c>
      <c r="AP48" s="29" t="str">
        <f t="shared" si="75"/>
        <v/>
      </c>
      <c r="AQ48" s="29" t="str">
        <f t="shared" si="75"/>
        <v/>
      </c>
      <c r="AR48" s="29" t="str">
        <f t="shared" si="75"/>
        <v/>
      </c>
      <c r="AS48" s="29" t="str">
        <f t="shared" si="75"/>
        <v/>
      </c>
      <c r="AT48" s="29" t="str">
        <f t="shared" si="75"/>
        <v/>
      </c>
      <c r="AU48" s="29" t="str">
        <f t="shared" si="75"/>
        <v/>
      </c>
    </row>
    <row r="49" spans="16:47">
      <c r="P49" s="40"/>
      <c r="Q49" s="28"/>
      <c r="R49" s="23" t="s">
        <v>85</v>
      </c>
      <c r="S49" s="24" t="e" cm="1">
        <f t="array" ref="S49">$AC49*E$6*E$9/(SUMPRODUCT($E$6:$N$6,$E$9:$N$9))</f>
        <v>#DIV/0!</v>
      </c>
      <c r="T49" s="24" t="e" cm="1">
        <f t="array" ref="T49">$AC49*F$6*F$9/(SUMPRODUCT($E$6:$N$6,$E$9:$N$9))</f>
        <v>#DIV/0!</v>
      </c>
      <c r="U49" s="24" t="e" cm="1">
        <f t="array" ref="U49">$AC49*G$6*G$9/(SUMPRODUCT($E$6:$N$6,$E$9:$N$9))</f>
        <v>#DIV/0!</v>
      </c>
      <c r="V49" s="24" t="e" cm="1">
        <f t="array" ref="V49">$AC49*H$6*H$9/(SUMPRODUCT($E$6:$N$6,$E$9:$N$9))</f>
        <v>#DIV/0!</v>
      </c>
      <c r="W49" s="24" t="e" cm="1">
        <f t="array" ref="W49">$AC49*I$6*I$9/(SUMPRODUCT($E$6:$N$6,$E$9:$N$9))</f>
        <v>#DIV/0!</v>
      </c>
      <c r="X49" s="24" t="e" cm="1">
        <f t="array" ref="X49">$AC49*J$6*J$9/(SUMPRODUCT($E$6:$N$6,$E$9:$N$9))</f>
        <v>#DIV/0!</v>
      </c>
      <c r="Y49" s="24" t="e" cm="1">
        <f t="array" ref="Y49">$AC49*K$6*K$9/(SUMPRODUCT($E$6:$N$6,$E$9:$N$9))</f>
        <v>#DIV/0!</v>
      </c>
      <c r="Z49" s="24" t="e" cm="1">
        <f t="array" ref="Z49">$AC49*L$6*L$9/(SUMPRODUCT($E$6:$N$6,$E$9:$N$9))</f>
        <v>#DIV/0!</v>
      </c>
      <c r="AA49" s="24" t="e" cm="1">
        <f t="array" ref="AA49">$AC49*M$6*M$9/(SUMPRODUCT($E$6:$N$6,$E$9:$N$9))</f>
        <v>#DIV/0!</v>
      </c>
      <c r="AB49" s="24" t="e" cm="1">
        <f t="array" ref="AB49">$AC49*N$6*N$9/(SUMPRODUCT($E$6:$N$6,$E$9:$N$9))</f>
        <v>#DIV/0!</v>
      </c>
      <c r="AC49" s="24" t="e">
        <f>$E$4*$E$21*12/$E$10</f>
        <v>#DIV/0!</v>
      </c>
      <c r="AD49" s="79" t="e">
        <f t="shared" si="67"/>
        <v>#DIV/0!</v>
      </c>
      <c r="AG49" s="28"/>
      <c r="AH49" s="1" t="s">
        <v>85</v>
      </c>
      <c r="AI49" s="35"/>
      <c r="AJ49" s="29" t="str">
        <f t="shared" ref="AJ49:AU49" si="76">IF($E$3="纯租赁",IF(AJ38*12&lt;=$E$12,$E$4*$E$21*12,""),IF(AJ38*12&lt;=$E$28,$E$4*$E$21*12,""))</f>
        <v/>
      </c>
      <c r="AK49" s="29" t="str">
        <f t="shared" si="76"/>
        <v/>
      </c>
      <c r="AL49" s="29" t="str">
        <f t="shared" si="76"/>
        <v/>
      </c>
      <c r="AM49" s="29" t="str">
        <f t="shared" si="76"/>
        <v/>
      </c>
      <c r="AN49" s="29" t="str">
        <f t="shared" si="76"/>
        <v/>
      </c>
      <c r="AO49" s="29" t="str">
        <f t="shared" si="76"/>
        <v/>
      </c>
      <c r="AP49" s="29" t="str">
        <f t="shared" si="76"/>
        <v/>
      </c>
      <c r="AQ49" s="29" t="str">
        <f t="shared" si="76"/>
        <v/>
      </c>
      <c r="AR49" s="29" t="str">
        <f t="shared" si="76"/>
        <v/>
      </c>
      <c r="AS49" s="29" t="str">
        <f t="shared" si="76"/>
        <v/>
      </c>
      <c r="AT49" s="29" t="str">
        <f t="shared" si="76"/>
        <v/>
      </c>
      <c r="AU49" s="29" t="str">
        <f t="shared" si="76"/>
        <v/>
      </c>
    </row>
    <row r="50" spans="16:47">
      <c r="Q50" s="53" t="s">
        <v>15</v>
      </c>
      <c r="R50" s="35" t="s">
        <v>88</v>
      </c>
      <c r="S50" s="29">
        <f t="shared" ref="S50:AB50" si="77">$E$4*E$9*E$22</f>
        <v>0</v>
      </c>
      <c r="T50" s="29">
        <f t="shared" si="77"/>
        <v>0</v>
      </c>
      <c r="U50" s="29">
        <f t="shared" si="77"/>
        <v>0</v>
      </c>
      <c r="V50" s="29">
        <f t="shared" si="77"/>
        <v>0</v>
      </c>
      <c r="W50" s="29">
        <f t="shared" si="77"/>
        <v>0</v>
      </c>
      <c r="X50" s="29">
        <f t="shared" si="77"/>
        <v>0</v>
      </c>
      <c r="Y50" s="29">
        <f t="shared" si="77"/>
        <v>0</v>
      </c>
      <c r="Z50" s="29">
        <f t="shared" si="77"/>
        <v>0</v>
      </c>
      <c r="AA50" s="29">
        <f t="shared" si="77"/>
        <v>0</v>
      </c>
      <c r="AB50" s="29">
        <f t="shared" si="77"/>
        <v>0</v>
      </c>
      <c r="AC50" s="29" cm="1">
        <f t="array" ref="AC50">$E$4*SUMPRODUCT($E$9:$N$9,$E$22:$N$22)</f>
        <v>0</v>
      </c>
      <c r="AD50" s="27" t="e">
        <f t="shared" si="67"/>
        <v>#DIV/0!</v>
      </c>
      <c r="AG50" s="53" t="s">
        <v>15</v>
      </c>
      <c r="AH50" s="80" t="s">
        <v>88</v>
      </c>
      <c r="AI50" s="81"/>
      <c r="AJ50" s="82" t="str" cm="1">
        <f t="array" ref="AJ50">IF($E$3="纯租赁",IF(AJ38*12&lt;=$E$12,$E$4*SUMPRODUCT($E$9:$N$9,$E$22:$N$22)*$E$10,""),IF(AJ38*12&lt;=$E$28,$E$4*SUMPRODUCT($E$9:$N$9,$E$22:$N$22)*$E$10,""))</f>
        <v/>
      </c>
      <c r="AK50" s="82" t="str" cm="1">
        <f t="array" ref="AK50">IF($E$3="纯租赁",IF(AK38*12&lt;=$E$12,$E$4*SUMPRODUCT($E$9:$N$9,$E$22:$N$22)*$E$10,""),IF(AK38*12&lt;=$E$28,$E$4*SUMPRODUCT($E$9:$N$9,$E$22:$N$22)*$E$10,""))</f>
        <v/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78">$E$4*E$9*E$23</f>
        <v>0</v>
      </c>
      <c r="T51" s="29">
        <f t="shared" si="78"/>
        <v>0</v>
      </c>
      <c r="U51" s="29">
        <f t="shared" si="78"/>
        <v>0</v>
      </c>
      <c r="V51" s="29">
        <f t="shared" si="78"/>
        <v>0</v>
      </c>
      <c r="W51" s="29">
        <f t="shared" si="78"/>
        <v>0</v>
      </c>
      <c r="X51" s="29">
        <f t="shared" si="78"/>
        <v>0</v>
      </c>
      <c r="Y51" s="29">
        <f t="shared" si="78"/>
        <v>0</v>
      </c>
      <c r="Z51" s="29">
        <f t="shared" si="78"/>
        <v>0</v>
      </c>
      <c r="AA51" s="29">
        <f t="shared" si="78"/>
        <v>0</v>
      </c>
      <c r="AB51" s="29">
        <f t="shared" si="78"/>
        <v>0</v>
      </c>
      <c r="AC51" s="29" cm="1">
        <f t="array" ref="AC51">$E$4*SUMPRODUCT($E$9:$N$9,$E$23:$N$23)</f>
        <v>0</v>
      </c>
      <c r="AD51" s="27" t="e">
        <f t="shared" si="67"/>
        <v>#DIV/0!</v>
      </c>
      <c r="AF51" s="71"/>
      <c r="AG51" s="28"/>
      <c r="AH51" s="1" t="s">
        <v>91</v>
      </c>
      <c r="AI51" s="35"/>
      <c r="AJ51" s="29" t="str" cm="1">
        <f t="array" ref="AJ51">IF($E$3="纯租赁",IF(AJ38*12&lt;=$E$12,$E$4*SUMPRODUCT($E$23:$N$23,$E$9:$N$9)*$E$10,""),IF(AJ38*12&lt;=$E$28,$E$4*SUMPRODUCT($E$23:$N$23,$E$9:$N$9)*$E$10,""))</f>
        <v/>
      </c>
      <c r="AK51" s="29" t="str" cm="1">
        <f t="array" ref="AK51">IF($E$3="纯租赁",IF(AK38*12&lt;=$E$12,$E$4*SUMPRODUCT($E$23:$N$23,$E$9:$N$9)*$E$10,""),IF(AK38*12&lt;=$E$28,$E$4*SUMPRODUCT($E$23:$N$23,$E$9:$N$9)*$E$10,""))</f>
        <v/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79">$E$4*E$9*E$24</f>
        <v>0</v>
      </c>
      <c r="T52" s="29">
        <f t="shared" si="79"/>
        <v>0</v>
      </c>
      <c r="U52" s="29">
        <f t="shared" si="79"/>
        <v>0</v>
      </c>
      <c r="V52" s="29">
        <f t="shared" si="79"/>
        <v>0</v>
      </c>
      <c r="W52" s="29">
        <f t="shared" si="79"/>
        <v>0</v>
      </c>
      <c r="X52" s="29">
        <f t="shared" si="79"/>
        <v>0</v>
      </c>
      <c r="Y52" s="29">
        <f t="shared" si="79"/>
        <v>0</v>
      </c>
      <c r="Z52" s="29">
        <f t="shared" si="79"/>
        <v>0</v>
      </c>
      <c r="AA52" s="29">
        <f t="shared" si="79"/>
        <v>0</v>
      </c>
      <c r="AB52" s="29">
        <f t="shared" si="79"/>
        <v>0</v>
      </c>
      <c r="AC52" s="29" cm="1">
        <f t="array" ref="AC52">$E$4*SUMPRODUCT($E$9:$N$9,$E$24:$N$24)</f>
        <v>0</v>
      </c>
      <c r="AD52" s="27" t="e">
        <f t="shared" si="67"/>
        <v>#DIV/0!</v>
      </c>
      <c r="AG52" s="28"/>
      <c r="AH52" s="1" t="s">
        <v>94</v>
      </c>
      <c r="AI52" s="35"/>
      <c r="AJ52" s="29" t="str" cm="1">
        <f t="array" ref="AJ52">IF($E$3="纯租赁",IF(AJ38*12&lt;=$E$12,$E$4*$E$10*SUMPRODUCT($E$24:$N$24,$E$9:$N$9),""),IF(AJ38*12&lt;=$E$28,$E$4*$E$10*SUMPRODUCT($E$24:$N$24,$E$9:$N$9),""))</f>
        <v/>
      </c>
      <c r="AK52" s="29" t="str" cm="1">
        <f t="array" ref="AK52">IF($E$3="纯租赁",IF(AK38*12&lt;=$E$12,$E$4*$E$10*SUMPRODUCT($E$24:$N$24,$E$9:$N$9),""),IF(AK38*12&lt;=$E$28,$E$4*$E$10*SUMPRODUCT($E$24:$N$24,$E$9:$N$9),""))</f>
        <v/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80">$E$4*E$9*E$25</f>
        <v>0</v>
      </c>
      <c r="T53" s="29">
        <f t="shared" si="80"/>
        <v>0</v>
      </c>
      <c r="U53" s="29">
        <f t="shared" si="80"/>
        <v>0</v>
      </c>
      <c r="V53" s="29">
        <f t="shared" si="80"/>
        <v>0</v>
      </c>
      <c r="W53" s="29">
        <f t="shared" si="80"/>
        <v>0</v>
      </c>
      <c r="X53" s="29">
        <f t="shared" si="80"/>
        <v>0</v>
      </c>
      <c r="Y53" s="29">
        <f t="shared" si="80"/>
        <v>0</v>
      </c>
      <c r="Z53" s="29">
        <f t="shared" si="80"/>
        <v>0</v>
      </c>
      <c r="AA53" s="29">
        <f t="shared" si="80"/>
        <v>0</v>
      </c>
      <c r="AB53" s="29">
        <f t="shared" si="80"/>
        <v>0</v>
      </c>
      <c r="AC53" s="29" cm="1">
        <f t="array" ref="AC53">$E$4*SUMPRODUCT($E$9:$N$9,$E$25:$N$25)</f>
        <v>0</v>
      </c>
      <c r="AD53" s="27" t="e">
        <f t="shared" si="67"/>
        <v>#DIV/0!</v>
      </c>
      <c r="AG53" s="28"/>
      <c r="AH53" s="1" t="s">
        <v>97</v>
      </c>
      <c r="AI53" s="35"/>
      <c r="AJ53" s="29" t="str" cm="1">
        <f t="array" ref="AJ53">IF($E$3="纯租赁",IF(AJ38*12&lt;=$E$12,$E$4*$E$10*SUMPRODUCT($E$25:$N$25,$E$9:$N$9),""),IF(AJ38*12&lt;=$E$28,$E$4*$E$10*SUMPRODUCT($E$25:$N$25,$E$9:$N$9),""))</f>
        <v/>
      </c>
      <c r="AK53" s="29" t="str" cm="1">
        <f t="array" ref="AK53">IF($E$3="纯租赁",IF(AK38*12&lt;=$E$12,$E$4*$E$10*SUMPRODUCT($E$25:$N$25,$E$9:$N$9),""),IF(AK38*12&lt;=$E$28,$E$4*$E$10*SUMPRODUCT($E$25:$N$25,$E$9:$N$9),""))</f>
        <v/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81">IF(E$8,$E$4*$E$32*$E$5*E$6,$E$4*$E$33*$E$5*E$6)*E$9</f>
        <v>0</v>
      </c>
      <c r="T54" s="20">
        <f t="shared" si="81"/>
        <v>0</v>
      </c>
      <c r="U54" s="20">
        <f t="shared" si="81"/>
        <v>0</v>
      </c>
      <c r="V54" s="20">
        <f t="shared" si="81"/>
        <v>0</v>
      </c>
      <c r="W54" s="20">
        <f t="shared" si="81"/>
        <v>0</v>
      </c>
      <c r="X54" s="20">
        <f t="shared" si="81"/>
        <v>0</v>
      </c>
      <c r="Y54" s="20">
        <f t="shared" si="81"/>
        <v>0</v>
      </c>
      <c r="Z54" s="20">
        <f t="shared" si="81"/>
        <v>0</v>
      </c>
      <c r="AA54" s="20">
        <f t="shared" si="81"/>
        <v>0</v>
      </c>
      <c r="AB54" s="20">
        <f t="shared" si="81"/>
        <v>0</v>
      </c>
      <c r="AC54" s="29" cm="1">
        <f t="array" ref="AC54">$E$4*$E$5*SUMPRODUCT(IF($E$8:$N$8,$E$32,$E$33),$E$6:$N$6,$E$9:$N$9)</f>
        <v>0</v>
      </c>
      <c r="AD54" s="27" t="e">
        <f t="shared" si="67"/>
        <v>#DIV/0!</v>
      </c>
      <c r="AG54" s="28"/>
      <c r="AH54" s="1" t="s">
        <v>100</v>
      </c>
      <c r="AI54" s="35"/>
      <c r="AJ54" s="29" t="str" cm="1">
        <f t="array" ref="AJ54">IF($E$3="纯租赁",IF(AJ38*12&lt;=$E$12,$E$4*$E$5*$E$10*SUMPRODUCT(IF($E$8:$N$8,$E$32,$E$33),$E$6:$N$6,$E$9:$N$9),""),IF(AJ38*12&lt;=$E$28,$E$4*$E$5*$E$10*SUMPRODUCT(IF($E$8:$N$8,$E$32,$E$33),$E$6:$N$6,$E$9:$N$9),""))</f>
        <v/>
      </c>
      <c r="AK54" s="29" t="str" cm="1">
        <f t="array" ref="AK54">IF($E$3="纯租赁",IF(AK38*12&lt;=$E$12,$E$4*$E$5*$E$10*SUMPRODUCT(IF($E$8:$N$8,$E$32,$E$33),$E$6:$N$6,$E$9:$N$9),""),IF(AK38*12&lt;=$E$28,$E$4*$E$5*$E$10*SUMPRODUCT(IF($E$8:$N$8,$E$32,$E$33),$E$6:$N$6,$E$9:$N$9),""))</f>
        <v/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t="e" cm="1">
        <f t="array" ref="S55">$AC55*E$6*E$9/(SUMPRODUCT($E$6:$N$6,$E$9:$N$9))</f>
        <v>#DIV/0!</v>
      </c>
      <c r="T55" s="24" t="e" cm="1">
        <f t="array" ref="T55">$AC55*F$6*F$9/(SUMPRODUCT($E$6:$N$6,$E$9:$N$9))</f>
        <v>#DIV/0!</v>
      </c>
      <c r="U55" s="24" t="e" cm="1">
        <f t="array" ref="U55">$AC55*G$6*G$9/(SUMPRODUCT($E$6:$N$6,$E$9:$N$9))</f>
        <v>#DIV/0!</v>
      </c>
      <c r="V55" s="24" t="e" cm="1">
        <f t="array" ref="V55">$AC55*H$6*H$9/(SUMPRODUCT($E$6:$N$6,$E$9:$N$9))</f>
        <v>#DIV/0!</v>
      </c>
      <c r="W55" s="24" t="e" cm="1">
        <f t="array" ref="W55">$AC55*I$6*I$9/(SUMPRODUCT($E$6:$N$6,$E$9:$N$9))</f>
        <v>#DIV/0!</v>
      </c>
      <c r="X55" s="24" t="e" cm="1">
        <f t="array" ref="X55">$AC55*J$6*J$9/(SUMPRODUCT($E$6:$N$6,$E$9:$N$9))</f>
        <v>#DIV/0!</v>
      </c>
      <c r="Y55" s="24" t="e" cm="1">
        <f t="array" ref="Y55">$AC55*K$6*K$9/(SUMPRODUCT($E$6:$N$6,$E$9:$N$9))</f>
        <v>#DIV/0!</v>
      </c>
      <c r="Z55" s="24" t="e" cm="1">
        <f t="array" ref="Z55">$AC55*L$6*L$9/(SUMPRODUCT($E$6:$N$6,$E$9:$N$9))</f>
        <v>#DIV/0!</v>
      </c>
      <c r="AA55" s="24" t="e" cm="1">
        <f t="array" ref="AA55">$AC55*M$6*M$9/(SUMPRODUCT($E$6:$N$6,$E$9:$N$9))</f>
        <v>#DIV/0!</v>
      </c>
      <c r="AB55" s="24" t="e" cm="1">
        <f t="array" ref="AB55">$AC55*N$6*N$9/(SUMPRODUCT($E$6:$N$6,$E$9:$N$9))</f>
        <v>#DIV/0!</v>
      </c>
      <c r="AC55" s="24" cm="1">
        <f t="array" ref="AC55">SUMPRODUCT($E$6:$N$6,$E$9:$N$9)/$E$29*$E$30*$E$4*$E$31</f>
        <v>0</v>
      </c>
      <c r="AD55" s="79" t="e">
        <f t="shared" si="67"/>
        <v>#DIV/0!</v>
      </c>
      <c r="AG55" s="22"/>
      <c r="AH55" s="50" t="s">
        <v>103</v>
      </c>
      <c r="AI55" s="23"/>
      <c r="AJ55" s="24" t="str" cm="1">
        <f t="array" ref="AJ55">IF($E$3="纯租赁",IF(AJ38*12&lt;=$E$12,SUMPRODUCT($E$6:$N$6,$E$9:$N$9)*$E$10/$E$29*$E$30*$E$4*$E$31,""),IF(AJ38*12&lt;=$E$28,SUMPRODUCT($E$6:$N$6,$E$9:$N$9)*$E$10/$E$29*$E$30*$E$4*$E$31,""))</f>
        <v/>
      </c>
      <c r="AK55" s="24" t="str" cm="1">
        <f t="array" ref="AK55">IF($E$3="纯租赁",IF(AK38*12&lt;=$E$12,SUMPRODUCT($E$6:$N$6,$E$9:$N$9)*$E$10/$E$29*$E$30*$E$4*$E$31,""),IF(AK38*12&lt;=$E$28,SUMPRODUCT($E$6:$N$6,$E$9:$N$9)*$E$10/$E$29*$E$30*$E$4*$E$31,""))</f>
        <v/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t="e" cm="1">
        <f t="array" ref="S56">$AC56*E$6*E$9/(SUMPRODUCT($E$6:$N$6,$E$9:$N$9))</f>
        <v>#DIV/0!</v>
      </c>
      <c r="T56" s="29" t="e" cm="1">
        <f t="array" ref="T56">$AC56*F$6*F$9/(SUMPRODUCT($E$6:$N$6,$E$9:$N$9))</f>
        <v>#DIV/0!</v>
      </c>
      <c r="U56" s="29" t="e" cm="1">
        <f t="array" ref="U56">$AC56*G$6*G$9/(SUMPRODUCT($E$6:$N$6,$E$9:$N$9))</f>
        <v>#DIV/0!</v>
      </c>
      <c r="V56" s="29" t="e" cm="1">
        <f t="array" ref="V56">$AC56*H$6*H$9/(SUMPRODUCT($E$6:$N$6,$E$9:$N$9))</f>
        <v>#DIV/0!</v>
      </c>
      <c r="W56" s="29" t="e" cm="1">
        <f t="array" ref="W56">$AC56*I$6*I$9/(SUMPRODUCT($E$6:$N$6,$E$9:$N$9))</f>
        <v>#DIV/0!</v>
      </c>
      <c r="X56" s="29" t="e" cm="1">
        <f t="array" ref="X56">$AC56*J$6*J$9/(SUMPRODUCT($E$6:$N$6,$E$9:$N$9))</f>
        <v>#DIV/0!</v>
      </c>
      <c r="Y56" s="29" t="e" cm="1">
        <f t="array" ref="Y56">$AC56*K$6*K$9/(SUMPRODUCT($E$6:$N$6,$E$9:$N$9))</f>
        <v>#DIV/0!</v>
      </c>
      <c r="Z56" s="29" t="e" cm="1">
        <f t="array" ref="Z56">$AC56*L$6*L$9/(SUMPRODUCT($E$6:$N$6,$E$9:$N$9))</f>
        <v>#DIV/0!</v>
      </c>
      <c r="AA56" s="29" t="e" cm="1">
        <f t="array" ref="AA56">$AC56*M$6*M$9/(SUMPRODUCT($E$6:$N$6,$E$9:$N$9))</f>
        <v>#DIV/0!</v>
      </c>
      <c r="AB56" s="29" t="e" cm="1">
        <f t="array" ref="AB56">$AC56*N$6*N$9/(SUMPRODUCT($E$6:$N$6,$E$9:$N$9))</f>
        <v>#DIV/0!</v>
      </c>
      <c r="AC56" s="29">
        <f>AC39*$E$34/12*$E$26</f>
        <v>0</v>
      </c>
      <c r="AD56" s="27" t="e">
        <f t="shared" si="67"/>
        <v>#DIV/0!</v>
      </c>
      <c r="AG56" s="28" t="s">
        <v>16</v>
      </c>
      <c r="AH56" s="1" t="s">
        <v>106</v>
      </c>
      <c r="AI56" s="35"/>
      <c r="AJ56" s="29" t="str">
        <f t="shared" ref="AJ56:AU56" si="82">IFERROR(AJ39*$E$34/12*$E$26,"")</f>
        <v/>
      </c>
      <c r="AK56" s="29" t="str">
        <f t="shared" si="82"/>
        <v/>
      </c>
      <c r="AL56" s="29" t="str">
        <f t="shared" si="82"/>
        <v/>
      </c>
      <c r="AM56" s="29" t="str">
        <f t="shared" si="82"/>
        <v/>
      </c>
      <c r="AN56" s="29" t="str">
        <f t="shared" si="82"/>
        <v/>
      </c>
      <c r="AO56" s="29" t="str">
        <f t="shared" si="82"/>
        <v/>
      </c>
      <c r="AP56" s="29" t="str">
        <f t="shared" si="82"/>
        <v/>
      </c>
      <c r="AQ56" s="29" t="str">
        <f t="shared" si="82"/>
        <v/>
      </c>
      <c r="AR56" s="29" t="str">
        <f t="shared" si="82"/>
        <v/>
      </c>
      <c r="AS56" s="29" t="str">
        <f t="shared" si="82"/>
        <v/>
      </c>
      <c r="AT56" s="29" t="str">
        <f t="shared" si="82"/>
        <v/>
      </c>
      <c r="AU56" s="29" t="str">
        <f t="shared" si="82"/>
        <v/>
      </c>
    </row>
    <row r="57" spans="16:47">
      <c r="Q57" s="64"/>
      <c r="R57" s="35" t="s">
        <v>109</v>
      </c>
      <c r="S57" s="29" t="e" cm="1">
        <f t="array" ref="S57">$AC57*E$6*E$9/(SUMPRODUCT($E$6:$N$6,$E$9:$N$9))</f>
        <v>#DIV/0!</v>
      </c>
      <c r="T57" s="29" t="e" cm="1">
        <f t="array" ref="T57">$AC57*F$6*F$9/(SUMPRODUCT($E$6:$N$6,$E$9:$N$9))</f>
        <v>#DIV/0!</v>
      </c>
      <c r="U57" s="29" t="e" cm="1">
        <f t="array" ref="U57">$AC57*G$6*G$9/(SUMPRODUCT($E$6:$N$6,$E$9:$N$9))</f>
        <v>#DIV/0!</v>
      </c>
      <c r="V57" s="29" t="e" cm="1">
        <f t="array" ref="V57">$AC57*H$6*H$9/(SUMPRODUCT($E$6:$N$6,$E$9:$N$9))</f>
        <v>#DIV/0!</v>
      </c>
      <c r="W57" s="29" t="e" cm="1">
        <f t="array" ref="W57">$AC57*I$6*I$9/(SUMPRODUCT($E$6:$N$6,$E$9:$N$9))</f>
        <v>#DIV/0!</v>
      </c>
      <c r="X57" s="29" t="e" cm="1">
        <f t="array" ref="X57">$AC57*J$6*J$9/(SUMPRODUCT($E$6:$N$6,$E$9:$N$9))</f>
        <v>#DIV/0!</v>
      </c>
      <c r="Y57" s="29" t="e" cm="1">
        <f t="array" ref="Y57">$AC57*K$6*K$9/(SUMPRODUCT($E$6:$N$6,$E$9:$N$9))</f>
        <v>#DIV/0!</v>
      </c>
      <c r="Z57" s="29" t="e" cm="1">
        <f t="array" ref="Z57">$AC57*L$6*L$9/(SUMPRODUCT($E$6:$N$6,$E$9:$N$9))</f>
        <v>#DIV/0!</v>
      </c>
      <c r="AA57" s="29" t="e" cm="1">
        <f t="array" ref="AA57">$AC57*M$6*M$9/(SUMPRODUCT($E$6:$N$6,$E$9:$N$9))</f>
        <v>#DIV/0!</v>
      </c>
      <c r="AB57" s="29" t="e" cm="1">
        <f t="array" ref="AB57">$AC57*N$6*N$9/(SUMPRODUCT($E$6:$N$6,$E$9:$N$9))</f>
        <v>#DIV/0!</v>
      </c>
      <c r="AC57" s="29" t="e">
        <f>($E$4*$E$13*12/$E$10+SUM(AC42:AC55))*$E$35/12*$E$27</f>
        <v>#DIV/0!</v>
      </c>
      <c r="AD57" s="27" t="e">
        <f t="shared" si="67"/>
        <v>#DIV/0!</v>
      </c>
      <c r="AG57" s="28"/>
      <c r="AH57" s="1" t="s">
        <v>109</v>
      </c>
      <c r="AI57" s="35"/>
      <c r="AJ57" s="29" t="str">
        <f t="shared" ref="AJ57:AU57" si="83">IF($E$3="纯租赁",IF(AJ38*12&lt;=$E$12,SUM(AJ41:AJ55)*$E$35/12*$E$27,""),IF(AJ38*12&lt;=$E$28,SUM(AJ41:AJ55)*$E$35/12*$E$27,""))</f>
        <v/>
      </c>
      <c r="AK57" s="29" t="str">
        <f t="shared" si="83"/>
        <v/>
      </c>
      <c r="AL57" s="29" t="str">
        <f t="shared" si="83"/>
        <v/>
      </c>
      <c r="AM57" s="29" t="str">
        <f t="shared" si="83"/>
        <v/>
      </c>
      <c r="AN57" s="29" t="str">
        <f t="shared" si="83"/>
        <v/>
      </c>
      <c r="AO57" s="29" t="str">
        <f t="shared" si="83"/>
        <v/>
      </c>
      <c r="AP57" s="29" t="str">
        <f t="shared" si="83"/>
        <v/>
      </c>
      <c r="AQ57" s="29" t="str">
        <f t="shared" si="83"/>
        <v/>
      </c>
      <c r="AR57" s="29" t="str">
        <f t="shared" si="83"/>
        <v/>
      </c>
      <c r="AS57" s="29" t="str">
        <f t="shared" si="83"/>
        <v/>
      </c>
      <c r="AT57" s="29" t="str">
        <f t="shared" si="83"/>
        <v/>
      </c>
      <c r="AU57" s="29" t="str">
        <f t="shared" si="83"/>
        <v/>
      </c>
    </row>
    <row r="58" spans="16:47">
      <c r="Q58" s="53" t="s">
        <v>17</v>
      </c>
      <c r="R58" s="65" t="s">
        <v>112</v>
      </c>
      <c r="S58" s="55" t="e" cm="1">
        <f t="array" ref="S58">$AC58*E$6*E$9/(SUMPRODUCT($E$6:$N$6,$E$9:$N$9))</f>
        <v>#DIV/0!</v>
      </c>
      <c r="T58" s="55" t="e" cm="1">
        <f t="array" ref="T58">$AC58*F$6*F$9/(SUMPRODUCT($E$6:$N$6,$E$9:$N$9))</f>
        <v>#DIV/0!</v>
      </c>
      <c r="U58" s="55" t="e" cm="1">
        <f t="array" ref="U58">$AC58*G$6*G$9/(SUMPRODUCT($E$6:$N$6,$E$9:$N$9))</f>
        <v>#DIV/0!</v>
      </c>
      <c r="V58" s="55" t="e" cm="1">
        <f t="array" ref="V58">$AC58*H$6*H$9/(SUMPRODUCT($E$6:$N$6,$E$9:$N$9))</f>
        <v>#DIV/0!</v>
      </c>
      <c r="W58" s="55" t="e" cm="1">
        <f t="array" ref="W58">$AC58*I$6*I$9/(SUMPRODUCT($E$6:$N$6,$E$9:$N$9))</f>
        <v>#DIV/0!</v>
      </c>
      <c r="X58" s="55" t="e" cm="1">
        <f t="array" ref="X58">$AC58*J$6*J$9/(SUMPRODUCT($E$6:$N$6,$E$9:$N$9))</f>
        <v>#DIV/0!</v>
      </c>
      <c r="Y58" s="55" t="e" cm="1">
        <f t="array" ref="Y58">$AC58*K$6*K$9/(SUMPRODUCT($E$6:$N$6,$E$9:$N$9))</f>
        <v>#DIV/0!</v>
      </c>
      <c r="Z58" s="55" t="e" cm="1">
        <f t="array" ref="Z58">$AC58*L$6*L$9/(SUMPRODUCT($E$6:$N$6,$E$9:$N$9))</f>
        <v>#DIV/0!</v>
      </c>
      <c r="AA58" s="55" t="e" cm="1">
        <f t="array" ref="AA58">$AC58*M$6*M$9/(SUMPRODUCT($E$6:$N$6,$E$9:$N$9))</f>
        <v>#DIV/0!</v>
      </c>
      <c r="AB58" s="55" t="e" cm="1">
        <f t="array" ref="AB58">$AC58*N$6*N$9/(SUMPRODUCT($E$6:$N$6,$E$9:$N$9))</f>
        <v>#DIV/0!</v>
      </c>
      <c r="AC58" s="55">
        <f>AC39*0.09/1.09</f>
        <v>0</v>
      </c>
      <c r="AD58" s="102" t="e">
        <f>AC60/AC61</f>
        <v>#DIV/0!</v>
      </c>
      <c r="AG58" s="53" t="s">
        <v>17</v>
      </c>
      <c r="AH58" s="54" t="s">
        <v>112</v>
      </c>
      <c r="AI58" s="65"/>
      <c r="AJ58" s="55" t="str">
        <f t="shared" ref="AJ58:AU58" si="84">IFERROR(AJ39*0.09/1.09,"")</f>
        <v/>
      </c>
      <c r="AK58" s="55" t="str">
        <f t="shared" si="84"/>
        <v/>
      </c>
      <c r="AL58" s="55" t="str">
        <f t="shared" si="84"/>
        <v/>
      </c>
      <c r="AM58" s="55" t="str">
        <f t="shared" si="84"/>
        <v/>
      </c>
      <c r="AN58" s="55" t="str">
        <f t="shared" si="84"/>
        <v/>
      </c>
      <c r="AO58" s="55" t="str">
        <f t="shared" si="84"/>
        <v/>
      </c>
      <c r="AP58" s="55" t="str">
        <f t="shared" si="84"/>
        <v/>
      </c>
      <c r="AQ58" s="55" t="str">
        <f t="shared" si="84"/>
        <v/>
      </c>
      <c r="AR58" s="55" t="str">
        <f t="shared" si="84"/>
        <v/>
      </c>
      <c r="AS58" s="55" t="str">
        <f t="shared" si="84"/>
        <v/>
      </c>
      <c r="AT58" s="55" t="str">
        <f t="shared" si="84"/>
        <v/>
      </c>
      <c r="AU58" s="55" t="str">
        <f t="shared" si="84"/>
        <v/>
      </c>
    </row>
    <row r="59" spans="16:47">
      <c r="Q59" s="64"/>
      <c r="R59" s="66" t="s">
        <v>115</v>
      </c>
      <c r="S59" s="57" t="e" cm="1">
        <f t="array" ref="S59">$AC59*E$6*E$9/(SUMPRODUCT($E$6:$N$6,$E$9:$N$9))</f>
        <v>#DIV/0!</v>
      </c>
      <c r="T59" s="57" t="e" cm="1">
        <f t="array" ref="T59">$AC59*F$6*F$9/(SUMPRODUCT($E$6:$N$6,$E$9:$N$9))</f>
        <v>#DIV/0!</v>
      </c>
      <c r="U59" s="57" t="e" cm="1">
        <f t="array" ref="U59">$AC59*G$6*G$9/(SUMPRODUCT($E$6:$N$6,$E$9:$N$9))</f>
        <v>#DIV/0!</v>
      </c>
      <c r="V59" s="57" t="e" cm="1">
        <f t="array" ref="V59">$AC59*H$6*H$9/(SUMPRODUCT($E$6:$N$6,$E$9:$N$9))</f>
        <v>#DIV/0!</v>
      </c>
      <c r="W59" s="57" t="e" cm="1">
        <f t="array" ref="W59">$AC59*I$6*I$9/(SUMPRODUCT($E$6:$N$6,$E$9:$N$9))</f>
        <v>#DIV/0!</v>
      </c>
      <c r="X59" s="57" t="e" cm="1">
        <f t="array" ref="X59">$AC59*J$6*J$9/(SUMPRODUCT($E$6:$N$6,$E$9:$N$9))</f>
        <v>#DIV/0!</v>
      </c>
      <c r="Y59" s="57" t="e" cm="1">
        <f t="array" ref="Y59">$AC59*K$6*K$9/(SUMPRODUCT($E$6:$N$6,$E$9:$N$9))</f>
        <v>#DIV/0!</v>
      </c>
      <c r="Z59" s="57" t="e" cm="1">
        <f t="array" ref="Z59">$AC59*L$6*L$9/(SUMPRODUCT($E$6:$N$6,$E$9:$N$9))</f>
        <v>#DIV/0!</v>
      </c>
      <c r="AA59" s="57" t="e" cm="1">
        <f t="array" ref="AA59">$AC59*M$6*M$9/(SUMPRODUCT($E$6:$N$6,$E$9:$N$9))</f>
        <v>#DIV/0!</v>
      </c>
      <c r="AB59" s="57" t="e" cm="1">
        <f t="array" ref="AB59">$AC59*N$6*N$9/(SUMPRODUCT($E$6:$N$6,$E$9:$N$9))</f>
        <v>#DIV/0!</v>
      </c>
      <c r="AC59" s="57" t="e">
        <f>(AC41+AC54+AC55)*0.13/1.13+AC46*0.06/1.06</f>
        <v>#DIV/0!</v>
      </c>
      <c r="AD59" s="103"/>
      <c r="AG59" s="28"/>
      <c r="AH59" s="56" t="s">
        <v>115</v>
      </c>
      <c r="AI59" s="57">
        <f>AI40*0.13/1.13</f>
        <v>0</v>
      </c>
      <c r="AJ59" s="57" t="str">
        <f t="shared" ref="AJ59:AU59" si="85">IFERROR((AJ41+AJ54+AJ55)*0.13/1.13+AJ46*0.06/1.06,"")</f>
        <v/>
      </c>
      <c r="AK59" s="57" t="str">
        <f t="shared" si="85"/>
        <v/>
      </c>
      <c r="AL59" s="57" t="str">
        <f t="shared" si="85"/>
        <v/>
      </c>
      <c r="AM59" s="57" t="str">
        <f t="shared" si="85"/>
        <v/>
      </c>
      <c r="AN59" s="57" t="str">
        <f t="shared" si="85"/>
        <v/>
      </c>
      <c r="AO59" s="57" t="str">
        <f t="shared" si="85"/>
        <v/>
      </c>
      <c r="AP59" s="57" t="str">
        <f t="shared" si="85"/>
        <v/>
      </c>
      <c r="AQ59" s="57" t="str">
        <f t="shared" si="85"/>
        <v/>
      </c>
      <c r="AR59" s="57" t="str">
        <f t="shared" si="85"/>
        <v/>
      </c>
      <c r="AS59" s="57" t="str">
        <f t="shared" si="85"/>
        <v/>
      </c>
      <c r="AT59" s="57" t="str">
        <f t="shared" si="85"/>
        <v/>
      </c>
      <c r="AU59" s="57" t="str">
        <f t="shared" si="85"/>
        <v/>
      </c>
    </row>
    <row r="60" spans="16:47">
      <c r="Q60" s="22"/>
      <c r="R60" s="23" t="s">
        <v>118</v>
      </c>
      <c r="S60" s="24" t="e">
        <f t="shared" ref="S60:AC60" si="86">MAX(0,S58-S59)</f>
        <v>#DIV/0!</v>
      </c>
      <c r="T60" s="24" t="e">
        <f t="shared" si="86"/>
        <v>#DIV/0!</v>
      </c>
      <c r="U60" s="24" t="e">
        <f t="shared" si="86"/>
        <v>#DIV/0!</v>
      </c>
      <c r="V60" s="24" t="e">
        <f t="shared" si="86"/>
        <v>#DIV/0!</v>
      </c>
      <c r="W60" s="24" t="e">
        <f t="shared" si="86"/>
        <v>#DIV/0!</v>
      </c>
      <c r="X60" s="24" t="e">
        <f t="shared" si="86"/>
        <v>#DIV/0!</v>
      </c>
      <c r="Y60" s="24" t="e">
        <f t="shared" si="86"/>
        <v>#DIV/0!</v>
      </c>
      <c r="Z60" s="24" t="e">
        <f t="shared" si="86"/>
        <v>#DIV/0!</v>
      </c>
      <c r="AA60" s="24" t="e">
        <f t="shared" si="86"/>
        <v>#DIV/0!</v>
      </c>
      <c r="AB60" s="24" t="e">
        <f t="shared" si="86"/>
        <v>#DIV/0!</v>
      </c>
      <c r="AC60" s="24" t="e">
        <f t="shared" si="86"/>
        <v>#DIV/0!</v>
      </c>
      <c r="AD60" s="104"/>
      <c r="AG60" s="22"/>
      <c r="AH60" s="50" t="s">
        <v>118</v>
      </c>
      <c r="AI60" s="24">
        <f>AI58-AI59</f>
        <v>0</v>
      </c>
      <c r="AJ60" s="24" t="str">
        <f t="shared" ref="AJ60:AU60" si="87">IFERROR(MAX(0,AJ58-AJ59),"")</f>
        <v/>
      </c>
      <c r="AK60" s="24" t="str">
        <f t="shared" si="87"/>
        <v/>
      </c>
      <c r="AL60" s="24" t="str">
        <f t="shared" si="87"/>
        <v/>
      </c>
      <c r="AM60" s="24" t="str">
        <f t="shared" si="87"/>
        <v/>
      </c>
      <c r="AN60" s="24" t="str">
        <f t="shared" si="87"/>
        <v/>
      </c>
      <c r="AO60" s="24" t="str">
        <f t="shared" si="87"/>
        <v/>
      </c>
      <c r="AP60" s="24" t="str">
        <f t="shared" si="87"/>
        <v/>
      </c>
      <c r="AQ60" s="24" t="str">
        <f t="shared" si="87"/>
        <v/>
      </c>
      <c r="AR60" s="24" t="str">
        <f t="shared" si="87"/>
        <v/>
      </c>
      <c r="AS60" s="24" t="str">
        <f t="shared" si="87"/>
        <v/>
      </c>
      <c r="AT60" s="24" t="str">
        <f t="shared" si="87"/>
        <v/>
      </c>
      <c r="AU60" s="24" t="str">
        <f t="shared" si="87"/>
        <v/>
      </c>
    </row>
    <row r="61" ht="16.5" spans="16:47">
      <c r="Q61" s="44" t="s">
        <v>138</v>
      </c>
      <c r="R61" s="44"/>
      <c r="S61" s="76" t="e">
        <f t="shared" ref="S61:AB61" si="88">SUM(S41:S57)+S60</f>
        <v>#DIV/0!</v>
      </c>
      <c r="T61" s="76" t="e">
        <f t="shared" si="88"/>
        <v>#DIV/0!</v>
      </c>
      <c r="U61" s="76" t="e">
        <f t="shared" si="88"/>
        <v>#DIV/0!</v>
      </c>
      <c r="V61" s="76" t="e">
        <f t="shared" si="88"/>
        <v>#DIV/0!</v>
      </c>
      <c r="W61" s="76" t="e">
        <f t="shared" si="88"/>
        <v>#DIV/0!</v>
      </c>
      <c r="X61" s="76" t="e">
        <f t="shared" si="88"/>
        <v>#DIV/0!</v>
      </c>
      <c r="Y61" s="76" t="e">
        <f t="shared" si="88"/>
        <v>#DIV/0!</v>
      </c>
      <c r="Z61" s="76" t="e">
        <f t="shared" si="88"/>
        <v>#DIV/0!</v>
      </c>
      <c r="AA61" s="76" t="e">
        <f t="shared" si="88"/>
        <v>#DIV/0!</v>
      </c>
      <c r="AB61" s="76" t="e">
        <f t="shared" si="88"/>
        <v>#DIV/0!</v>
      </c>
      <c r="AC61" s="77" t="e">
        <f>SUM(AC41:AC57)+MAX(0,AC58-AC59)</f>
        <v>#DIV/0!</v>
      </c>
      <c r="AD61" s="77"/>
      <c r="AG61" s="48" t="s">
        <v>121</v>
      </c>
      <c r="AH61" s="48"/>
      <c r="AI61" s="58">
        <f>-AI40+AI60</f>
        <v>0</v>
      </c>
      <c r="AJ61" s="58" t="str">
        <f t="shared" ref="AI61:AU61" si="89">IFERROR(AJ39-SUM(AJ41:AJ57)-AJ60,"")</f>
        <v/>
      </c>
      <c r="AK61" s="58" t="str">
        <f t="shared" si="89"/>
        <v/>
      </c>
      <c r="AL61" s="58" t="str">
        <f t="shared" si="89"/>
        <v/>
      </c>
      <c r="AM61" s="58" t="str">
        <f t="shared" si="89"/>
        <v/>
      </c>
      <c r="AN61" s="58" t="str">
        <f t="shared" si="89"/>
        <v/>
      </c>
      <c r="AO61" s="58" t="str">
        <f t="shared" si="89"/>
        <v/>
      </c>
      <c r="AP61" s="58" t="str">
        <f t="shared" si="89"/>
        <v/>
      </c>
      <c r="AQ61" s="58" t="str">
        <f t="shared" si="89"/>
        <v/>
      </c>
      <c r="AR61" s="58" t="str">
        <f t="shared" si="89"/>
        <v/>
      </c>
      <c r="AS61" s="58" t="str">
        <f t="shared" si="89"/>
        <v/>
      </c>
      <c r="AT61" s="58" t="str">
        <f t="shared" si="89"/>
        <v/>
      </c>
      <c r="AU61" s="58" t="str">
        <f t="shared" si="89"/>
        <v/>
      </c>
    </row>
    <row r="62" ht="16.5" spans="16:47">
      <c r="Q62" s="69" t="s">
        <v>140</v>
      </c>
      <c r="R62" s="69"/>
      <c r="S62" s="58" t="e">
        <f t="shared" ref="S62:AB62" si="90">S40-S61</f>
        <v>#DIV/0!</v>
      </c>
      <c r="T62" s="58" t="e">
        <f t="shared" si="90"/>
        <v>#DIV/0!</v>
      </c>
      <c r="U62" s="58" t="e">
        <f t="shared" si="90"/>
        <v>#DIV/0!</v>
      </c>
      <c r="V62" s="58" t="e">
        <f t="shared" si="90"/>
        <v>#DIV/0!</v>
      </c>
      <c r="W62" s="58" t="e">
        <f t="shared" si="90"/>
        <v>#DIV/0!</v>
      </c>
      <c r="X62" s="58" t="e">
        <f t="shared" si="90"/>
        <v>#DIV/0!</v>
      </c>
      <c r="Y62" s="58" t="e">
        <f t="shared" si="90"/>
        <v>#DIV/0!</v>
      </c>
      <c r="Z62" s="58" t="e">
        <f t="shared" si="90"/>
        <v>#DIV/0!</v>
      </c>
      <c r="AA62" s="58" t="e">
        <f t="shared" si="90"/>
        <v>#DIV/0!</v>
      </c>
      <c r="AB62" s="58" t="e">
        <f t="shared" si="90"/>
        <v>#DIV/0!</v>
      </c>
      <c r="AC62" s="86" t="e">
        <f>AC39-AC61</f>
        <v>#DIV/0!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 t="str">
        <f>IF($E$3="纯租赁",IF(AJ38*12&lt;=$E$12,SUM($AI$61:AJ61),""),IF(AJ38*12&lt;=$E$28,SUM($AI$61:AJ61),""))</f>
        <v/>
      </c>
      <c r="AK62" s="58" t="str">
        <f>IF($E$3="纯租赁",IF(AK38*12&lt;=$E$12,SUM($AI$61:AK61),""),IF(AK38*12&lt;=$E$28,SUM($AI$61:AK61),""))</f>
        <v/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91">IF($E$3="纯租赁",S68+1,S68+1)</f>
        <v>2</v>
      </c>
      <c r="U68" s="87">
        <f t="shared" si="91"/>
        <v>3</v>
      </c>
      <c r="V68" s="87">
        <f t="shared" si="91"/>
        <v>4</v>
      </c>
      <c r="W68" s="87">
        <f t="shared" si="91"/>
        <v>5</v>
      </c>
      <c r="X68" s="87">
        <f t="shared" si="91"/>
        <v>6</v>
      </c>
      <c r="Y68" s="87">
        <f t="shared" si="91"/>
        <v>7</v>
      </c>
      <c r="Z68" s="87">
        <f t="shared" si="91"/>
        <v>8</v>
      </c>
      <c r="AA68" s="87">
        <f t="shared" si="91"/>
        <v>9</v>
      </c>
      <c r="AB68" s="87">
        <f t="shared" si="91"/>
        <v>10</v>
      </c>
      <c r="AC68" s="87">
        <f t="shared" si="91"/>
        <v>11</v>
      </c>
      <c r="AD68" s="87">
        <f t="shared" si="91"/>
        <v>12</v>
      </c>
    </row>
    <row r="69" spans="17:35">
      <c r="Q69" s="64" t="s">
        <v>13</v>
      </c>
      <c r="R69" s="35" t="s">
        <v>49</v>
      </c>
      <c r="S69" s="29" t="str" cm="1">
        <f t="array" ref="S69">IF($E$3="纯租赁",IF(S68*12&lt;=$E$12,$E$4*SUMPRODUCT($E$7:$N$7,$E$8:$N$8,$E$9:$N$9)*$E$10,""),$E$4*SUMPRODUCT($E$7:$N$7,$E$8:$N$8,$E$9:$N$9)*$E$10)</f>
        <v/>
      </c>
      <c r="T69" s="29" t="str" cm="1">
        <f t="array" ref="T69">IF($E$3="纯租赁",IF(T68*12&lt;=$E$12,$E$4*SUMPRODUCT($E$7:$N$7,$E$8:$N$8,$E$9:$N$9)*$E$10,""),$E$4*SUMPRODUCT($E$7:$N$7,$E$8:$N$8,$E$9:$N$9)*$E$10)</f>
        <v/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 t="str">
        <f t="shared" ref="S70:AD70" si="92">S69</f>
        <v/>
      </c>
      <c r="T70" s="76" t="str">
        <f t="shared" si="92"/>
        <v/>
      </c>
      <c r="U70" s="76" t="str">
        <f t="shared" si="92"/>
        <v/>
      </c>
      <c r="V70" s="76" t="str">
        <f t="shared" si="92"/>
        <v/>
      </c>
      <c r="W70" s="76" t="str">
        <f t="shared" si="92"/>
        <v/>
      </c>
      <c r="X70" s="76" t="str">
        <f t="shared" si="92"/>
        <v/>
      </c>
      <c r="Y70" s="76" t="str">
        <f t="shared" si="92"/>
        <v/>
      </c>
      <c r="Z70" s="76" t="str">
        <f t="shared" si="92"/>
        <v/>
      </c>
      <c r="AA70" s="76" t="str">
        <f t="shared" si="92"/>
        <v/>
      </c>
      <c r="AB70" s="76" t="str">
        <f t="shared" si="92"/>
        <v/>
      </c>
      <c r="AC70" s="76" t="str">
        <f t="shared" si="92"/>
        <v/>
      </c>
      <c r="AD70" s="76" t="str">
        <f t="shared" si="92"/>
        <v/>
      </c>
    </row>
    <row r="71" spans="17:35">
      <c r="Q71" s="28" t="s">
        <v>14</v>
      </c>
      <c r="R71" s="35" t="s">
        <v>79</v>
      </c>
      <c r="S71" s="29" t="str">
        <f>_xlfn.LET(_xlpm.a,$E$4*$E$13,_xlpm.b,$E$4*($E$11/MAX(36,S68*12)+$E$13),IF($E$3="纯租赁",IF(S68*12&lt;=$E$12,_xlpm.a*12,""),_xlpm.b*12))</f>
        <v/>
      </c>
      <c r="T71" s="29" t="str">
        <f>_xlfn.LET(_xlpm.a,$E$4*$E$13,_xlpm.b,$E$4*($E$11/MAX(36,T68*12)+$E$13),IF($E$3="纯租赁",IF(T68*12&lt;=$E$12,_xlpm.a*12,""),_xlpm.b*12))</f>
        <v/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 t="str">
        <f t="shared" ref="S72:AD72" si="93">IF($E$3="纯租赁",IF(S68*12&lt;=$E$12,$E$14*$E$4*12,""),$E$14*$E$4*12)</f>
        <v/>
      </c>
      <c r="T72" s="29" t="str">
        <f t="shared" si="93"/>
        <v/>
      </c>
      <c r="U72" s="29" t="str">
        <f t="shared" si="93"/>
        <v/>
      </c>
      <c r="V72" s="29" t="str">
        <f t="shared" si="93"/>
        <v/>
      </c>
      <c r="W72" s="29" t="str">
        <f t="shared" si="93"/>
        <v/>
      </c>
      <c r="X72" s="29" t="str">
        <f t="shared" si="93"/>
        <v/>
      </c>
      <c r="Y72" s="29" t="str">
        <f t="shared" si="93"/>
        <v/>
      </c>
      <c r="Z72" s="29" t="str">
        <f t="shared" si="93"/>
        <v/>
      </c>
      <c r="AA72" s="29" t="str">
        <f t="shared" si="93"/>
        <v/>
      </c>
      <c r="AB72" s="29" t="str">
        <f t="shared" si="93"/>
        <v/>
      </c>
      <c r="AC72" s="29" t="str">
        <f t="shared" si="93"/>
        <v/>
      </c>
      <c r="AD72" s="29" t="str">
        <f t="shared" si="93"/>
        <v/>
      </c>
    </row>
    <row r="73" spans="17:35">
      <c r="Q73" s="28"/>
      <c r="R73" s="35" t="s">
        <v>64</v>
      </c>
      <c r="S73" s="29" t="str">
        <f t="shared" ref="S73:AD73" si="94">IF($E$3="纯租赁",IF(S68*12&lt;=$E$12,$E$4*$E$15*12,""),$E$4*$E$15*12)</f>
        <v/>
      </c>
      <c r="T73" s="29" t="str">
        <f t="shared" si="94"/>
        <v/>
      </c>
      <c r="U73" s="29" t="str">
        <f t="shared" si="94"/>
        <v/>
      </c>
      <c r="V73" s="29" t="str">
        <f t="shared" si="94"/>
        <v/>
      </c>
      <c r="W73" s="29" t="str">
        <f t="shared" si="94"/>
        <v/>
      </c>
      <c r="X73" s="29" t="str">
        <f t="shared" si="94"/>
        <v/>
      </c>
      <c r="Y73" s="29" t="str">
        <f t="shared" si="94"/>
        <v/>
      </c>
      <c r="Z73" s="29" t="str">
        <f t="shared" si="94"/>
        <v/>
      </c>
      <c r="AA73" s="29" t="str">
        <f t="shared" si="94"/>
        <v/>
      </c>
      <c r="AB73" s="29" t="str">
        <f t="shared" si="94"/>
        <v/>
      </c>
      <c r="AC73" s="29" t="str">
        <f t="shared" si="94"/>
        <v/>
      </c>
      <c r="AD73" s="29" t="str">
        <f t="shared" si="94"/>
        <v/>
      </c>
    </row>
    <row r="74" spans="17:35">
      <c r="Q74" s="28"/>
      <c r="R74" s="35" t="s">
        <v>68</v>
      </c>
      <c r="S74" s="29" t="str">
        <f t="shared" ref="S74:AD74" si="95">IF($E$3="纯租赁",IF(S68*12&lt;=$E$12,$E$4*$E$16*12,""),$E$4*$E$16*12)</f>
        <v/>
      </c>
      <c r="T74" s="29" t="str">
        <f t="shared" si="95"/>
        <v/>
      </c>
      <c r="U74" s="29" t="str">
        <f t="shared" si="95"/>
        <v/>
      </c>
      <c r="V74" s="29" t="str">
        <f t="shared" si="95"/>
        <v/>
      </c>
      <c r="W74" s="29" t="str">
        <f t="shared" si="95"/>
        <v/>
      </c>
      <c r="X74" s="29" t="str">
        <f t="shared" si="95"/>
        <v/>
      </c>
      <c r="Y74" s="29" t="str">
        <f t="shared" si="95"/>
        <v/>
      </c>
      <c r="Z74" s="29" t="str">
        <f t="shared" si="95"/>
        <v/>
      </c>
      <c r="AA74" s="29" t="str">
        <f t="shared" si="95"/>
        <v/>
      </c>
      <c r="AB74" s="29" t="str">
        <f t="shared" si="95"/>
        <v/>
      </c>
      <c r="AC74" s="29" t="str">
        <f t="shared" si="95"/>
        <v/>
      </c>
      <c r="AD74" s="29" t="str">
        <f t="shared" si="95"/>
        <v/>
      </c>
    </row>
    <row r="75" spans="17:35">
      <c r="Q75" s="28"/>
      <c r="R75" s="35" t="s">
        <v>71</v>
      </c>
      <c r="S75" s="29" t="str">
        <f t="shared" ref="S75:AD75" si="96">IF($E$3="纯租赁",IF(S68*12&lt;=$E$12,$E$4*$E$17*12,""),$E$4*$E$17*12)</f>
        <v/>
      </c>
      <c r="T75" s="29" t="str">
        <f t="shared" si="96"/>
        <v/>
      </c>
      <c r="U75" s="29" t="str">
        <f t="shared" si="96"/>
        <v/>
      </c>
      <c r="V75" s="29" t="str">
        <f t="shared" si="96"/>
        <v/>
      </c>
      <c r="W75" s="29" t="str">
        <f t="shared" si="96"/>
        <v/>
      </c>
      <c r="X75" s="29" t="str">
        <f t="shared" si="96"/>
        <v/>
      </c>
      <c r="Y75" s="29" t="str">
        <f t="shared" si="96"/>
        <v/>
      </c>
      <c r="Z75" s="29" t="str">
        <f t="shared" si="96"/>
        <v/>
      </c>
      <c r="AA75" s="29" t="str">
        <f t="shared" si="96"/>
        <v/>
      </c>
      <c r="AB75" s="29" t="str">
        <f t="shared" si="96"/>
        <v/>
      </c>
      <c r="AC75" s="29" t="str">
        <f t="shared" si="96"/>
        <v/>
      </c>
      <c r="AD75" s="29" t="str">
        <f t="shared" si="96"/>
        <v/>
      </c>
    </row>
    <row r="76" spans="17:35">
      <c r="Q76" s="28"/>
      <c r="R76" s="35" t="s">
        <v>74</v>
      </c>
      <c r="S76" s="29" t="str">
        <f t="shared" ref="S76:AD76" si="97">IF($E$3="纯租赁",IF(S68*12&lt;=$E$12,$E$4*$E$18*12,""),$E$4*$E$18*12)</f>
        <v/>
      </c>
      <c r="T76" s="29" t="str">
        <f t="shared" si="97"/>
        <v/>
      </c>
      <c r="U76" s="29" t="str">
        <f t="shared" si="97"/>
        <v/>
      </c>
      <c r="V76" s="29" t="str">
        <f t="shared" si="97"/>
        <v/>
      </c>
      <c r="W76" s="29" t="str">
        <f t="shared" si="97"/>
        <v/>
      </c>
      <c r="X76" s="29" t="str">
        <f t="shared" si="97"/>
        <v/>
      </c>
      <c r="Y76" s="29" t="str">
        <f t="shared" si="97"/>
        <v/>
      </c>
      <c r="Z76" s="29" t="str">
        <f t="shared" si="97"/>
        <v/>
      </c>
      <c r="AA76" s="29" t="str">
        <f t="shared" si="97"/>
        <v/>
      </c>
      <c r="AB76" s="29" t="str">
        <f t="shared" si="97"/>
        <v/>
      </c>
      <c r="AC76" s="29" t="str">
        <f t="shared" si="97"/>
        <v/>
      </c>
      <c r="AD76" s="29" t="str">
        <f t="shared" si="97"/>
        <v/>
      </c>
    </row>
    <row r="77" spans="17:35">
      <c r="Q77" s="28"/>
      <c r="R77" s="35" t="s">
        <v>78</v>
      </c>
      <c r="S77" s="29" t="str">
        <f t="shared" ref="S77:AD77" si="98">IF($E$3="纯租赁",IF(S68*12&lt;=$E$12,$E$4*$E$19*12,""),$E$4*$E$19*12)</f>
        <v/>
      </c>
      <c r="T77" s="29" t="str">
        <f t="shared" si="98"/>
        <v/>
      </c>
      <c r="U77" s="29" t="str">
        <f t="shared" si="98"/>
        <v/>
      </c>
      <c r="V77" s="29" t="str">
        <f t="shared" si="98"/>
        <v/>
      </c>
      <c r="W77" s="29" t="str">
        <f t="shared" si="98"/>
        <v/>
      </c>
      <c r="X77" s="29" t="str">
        <f t="shared" si="98"/>
        <v/>
      </c>
      <c r="Y77" s="29" t="str">
        <f t="shared" si="98"/>
        <v/>
      </c>
      <c r="Z77" s="29" t="str">
        <f t="shared" si="98"/>
        <v/>
      </c>
      <c r="AA77" s="29" t="str">
        <f t="shared" si="98"/>
        <v/>
      </c>
      <c r="AB77" s="29" t="str">
        <f t="shared" si="98"/>
        <v/>
      </c>
      <c r="AC77" s="29" t="str">
        <f t="shared" si="98"/>
        <v/>
      </c>
      <c r="AD77" s="29" t="str">
        <f t="shared" si="98"/>
        <v/>
      </c>
    </row>
    <row r="78" spans="17:35">
      <c r="Q78" s="28"/>
      <c r="R78" s="35" t="s">
        <v>82</v>
      </c>
      <c r="S78" s="29" t="str">
        <f t="shared" ref="S78:AD78" si="99">IF($E$3="纯租赁",IF(S68*12&lt;=$E$12,$E$4*$E$20*12,""),$E$4*$E$20*12)</f>
        <v/>
      </c>
      <c r="T78" s="29" t="str">
        <f t="shared" si="99"/>
        <v/>
      </c>
      <c r="U78" s="29" t="str">
        <f t="shared" si="99"/>
        <v/>
      </c>
      <c r="V78" s="29" t="str">
        <f t="shared" si="99"/>
        <v/>
      </c>
      <c r="W78" s="29" t="str">
        <f t="shared" si="99"/>
        <v/>
      </c>
      <c r="X78" s="29" t="str">
        <f t="shared" si="99"/>
        <v/>
      </c>
      <c r="Y78" s="29" t="str">
        <f t="shared" si="99"/>
        <v/>
      </c>
      <c r="Z78" s="29" t="str">
        <f t="shared" si="99"/>
        <v/>
      </c>
      <c r="AA78" s="29" t="str">
        <f t="shared" si="99"/>
        <v/>
      </c>
      <c r="AB78" s="29" t="str">
        <f t="shared" si="99"/>
        <v/>
      </c>
      <c r="AC78" s="29" t="str">
        <f t="shared" si="99"/>
        <v/>
      </c>
      <c r="AD78" s="29" t="str">
        <f t="shared" si="99"/>
        <v/>
      </c>
    </row>
    <row r="79" spans="17:35">
      <c r="Q79" s="28"/>
      <c r="R79" s="23" t="s">
        <v>85</v>
      </c>
      <c r="S79" s="24" t="str">
        <f t="shared" ref="S79:AD79" si="100">IF($E$3="纯租赁",IF(S68*12&lt;=$E$12,$E$4*$E$21*12,""),$E$4*$E$21*12)</f>
        <v/>
      </c>
      <c r="T79" s="24" t="str">
        <f t="shared" si="100"/>
        <v/>
      </c>
      <c r="U79" s="24" t="str">
        <f t="shared" si="100"/>
        <v/>
      </c>
      <c r="V79" s="24" t="str">
        <f t="shared" si="100"/>
        <v/>
      </c>
      <c r="W79" s="24" t="str">
        <f t="shared" si="100"/>
        <v/>
      </c>
      <c r="X79" s="24" t="str">
        <f t="shared" si="100"/>
        <v/>
      </c>
      <c r="Y79" s="24" t="str">
        <f t="shared" si="100"/>
        <v/>
      </c>
      <c r="Z79" s="24" t="str">
        <f t="shared" si="100"/>
        <v/>
      </c>
      <c r="AA79" s="24" t="str">
        <f t="shared" si="100"/>
        <v/>
      </c>
      <c r="AB79" s="24" t="str">
        <f t="shared" si="100"/>
        <v/>
      </c>
      <c r="AC79" s="24" t="str">
        <f t="shared" si="100"/>
        <v/>
      </c>
      <c r="AD79" s="24" t="str">
        <f t="shared" si="100"/>
        <v/>
      </c>
    </row>
    <row r="80" spans="17:35">
      <c r="Q80" s="53" t="s">
        <v>15</v>
      </c>
      <c r="R80" s="35" t="s">
        <v>88</v>
      </c>
      <c r="S80" s="29" t="str" cm="1">
        <f t="array" ref="S80">IF($E$3="纯租赁",IF(S68*12&lt;=$E$12,$E$4*SUMPRODUCT($E$9:$N$9,$E$22:$N$22)*$E$10,""),$E$4*SUMPRODUCT($E$9:$N$9,$E$22:$N$22)*$E$10)</f>
        <v/>
      </c>
      <c r="T80" s="29" t="str" cm="1">
        <f t="array" ref="T80">IF($E$3="纯租赁",IF(T68*12&lt;=$E$12,$E$4*SUMPRODUCT($E$9:$N$9,$E$22:$N$22)*$E$10,""),$E$4*SUMPRODUCT($E$9:$N$9,$E$22:$N$22)*$E$10)</f>
        <v/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t="str" cm="1">
        <f t="array" ref="S81">IF($E$3="纯租赁",IF(S68*12&lt;=$E$12,$E$4*SUMPRODUCT($E$9:$N$9,$E$23:$N$23)*$E$10,""),$E$4*SUMPRODUCT($E$9:$N$9,$E$23:$N$23)*$E$10)</f>
        <v/>
      </c>
      <c r="T81" s="29" t="str" cm="1">
        <f t="array" ref="T81">IF($E$3="纯租赁",IF(T68*12&lt;=$E$12,$E$4*SUMPRODUCT($E$9:$N$9,$E$23:$N$23)*$E$10,""),$E$4*SUMPRODUCT($E$9:$N$9,$E$23:$N$23)*$E$10)</f>
        <v/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t="str" cm="1">
        <f t="array" ref="S82">IF($E$3="纯租赁",IF(S68*12&lt;=$E$12,$E$4*$E$10*SUMPRODUCT($E$9:$N$9,$E$24:$N$24),""),$E$4*$E$10*SUMPRODUCT($E$9:$N$9,$E$24:$N$24))</f>
        <v/>
      </c>
      <c r="T82" s="29" t="str" cm="1">
        <f t="array" ref="T82">IF($E$3="纯租赁",IF(T68*12&lt;=$E$12,$E$4*$E$10*SUMPRODUCT($E$9:$N$9,$E$24:$N$24),""),$E$4*$E$10*SUMPRODUCT($E$9:$N$9,$E$24:$N$24))</f>
        <v/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t="str" cm="1">
        <f t="array" ref="S83">IF($E$3="纯租赁",IF(S68*12&lt;=$E$12,$E$4*$E$10*SUMPRODUCT($E$25:$N$25,$E$9:$N$9),""),$E$4*$E$10*SUMPRODUCT($E$25:$N$25,$E$9:$N$9))</f>
        <v/>
      </c>
      <c r="T83" s="29" t="str" cm="1">
        <f t="array" ref="T83">IF($E$3="纯租赁",IF(T68*12&lt;=$E$12,$E$4*$E$10*SUMPRODUCT($E$25:$N$25,$E$9:$N$9),""),$E$4*$E$10*SUMPRODUCT($E$25:$N$25,$E$9:$N$9))</f>
        <v/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t="str" cm="1">
        <f t="array" ref="S84">IF($E$3="纯租赁",IF(S68*12&lt;=$E$12,$E$4*$E$5*$E$10*SUMPRODUCT(IF($E$8:$N$8,$E$32,$E$33),$E$6:$N$6,$E$9:$N$9),""),$E$4*$E$5*$E$10*SUMPRODUCT(IF($E$8:$N$8,$E$32,$E$33),$E$6:$N$6,$E$9:$N$9))</f>
        <v/>
      </c>
      <c r="T84" s="29" t="str" cm="1">
        <f t="array" ref="T84">IF($E$3="纯租赁",IF(T68*12&lt;=$E$12,$E$4*$E$5*$E$10*SUMPRODUCT(IF($E$8:$N$8,$E$32,$E$33),$E$6:$N$6,$E$9:$N$9),""),$E$4*$E$5*$E$10*SUMPRODUCT(IF($E$8:$N$8,$E$32,$E$33),$E$6:$N$6,$E$9:$N$9))</f>
        <v/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t="str" cm="1">
        <f t="array" ref="S85">IF($E$3="纯租赁",IF(S68*12&lt;=$E$12,SUMPRODUCT($E$6:$N$6,$E$9:$N$9)*$E$10/$E$29*$E$30*$E$4*$E$31,""),SUMPRODUCT($E$6:$N$6,$E$9:$N$9)*$E$10/$E$29*$E$30*$E$4*$E$31)</f>
        <v/>
      </c>
      <c r="T85" s="24" t="str" cm="1">
        <f t="array" ref="T85">IF($E$3="纯租赁",IF(T68*12&lt;=$E$12,SUMPRODUCT($E$6:$N$6,$E$9:$N$9)*$E$10/$E$29*$E$30*$E$4*$E$31,""),SUMPRODUCT($E$6:$N$6,$E$9:$N$9)*$E$10/$E$29*$E$30*$E$4*$E$31)</f>
        <v/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 t="str">
        <f t="shared" ref="S86:AD86" si="101">IFERROR(S69*$E$34/12*$E$26,"")</f>
        <v/>
      </c>
      <c r="T86" s="29" t="str">
        <f t="shared" si="101"/>
        <v/>
      </c>
      <c r="U86" s="29" t="str">
        <f t="shared" si="101"/>
        <v/>
      </c>
      <c r="V86" s="29" t="str">
        <f t="shared" si="101"/>
        <v/>
      </c>
      <c r="W86" s="29" t="str">
        <f t="shared" si="101"/>
        <v/>
      </c>
      <c r="X86" s="29" t="str">
        <f t="shared" si="101"/>
        <v/>
      </c>
      <c r="Y86" s="29" t="str">
        <f t="shared" si="101"/>
        <v/>
      </c>
      <c r="Z86" s="29" t="str">
        <f t="shared" si="101"/>
        <v/>
      </c>
      <c r="AA86" s="29" t="str">
        <f t="shared" si="101"/>
        <v/>
      </c>
      <c r="AB86" s="29" t="str">
        <f t="shared" si="101"/>
        <v/>
      </c>
      <c r="AC86" s="29" t="str">
        <f t="shared" si="101"/>
        <v/>
      </c>
      <c r="AD86" s="29" t="str">
        <f t="shared" si="101"/>
        <v/>
      </c>
    </row>
    <row r="87" spans="17:30">
      <c r="Q87" s="64"/>
      <c r="R87" s="35" t="s">
        <v>109</v>
      </c>
      <c r="S87" s="29" t="str">
        <f t="shared" ref="S87:AD87" si="102">IF($E$3="纯租赁",IF(S68*12&lt;=$E$12,($E$4*$E$13*12+SUM(S72:S85))*$E$35/12*$E$27,""),($E$4*$E$13*12+SUM(S72:S85))*$E$35/12*$E$27)</f>
        <v/>
      </c>
      <c r="T87" s="29" t="str">
        <f t="shared" si="102"/>
        <v/>
      </c>
      <c r="U87" s="29" t="str">
        <f t="shared" si="102"/>
        <v/>
      </c>
      <c r="V87" s="29" t="str">
        <f t="shared" si="102"/>
        <v/>
      </c>
      <c r="W87" s="29" t="str">
        <f t="shared" si="102"/>
        <v/>
      </c>
      <c r="X87" s="29" t="str">
        <f t="shared" si="102"/>
        <v/>
      </c>
      <c r="Y87" s="29" t="str">
        <f t="shared" si="102"/>
        <v/>
      </c>
      <c r="Z87" s="29" t="str">
        <f t="shared" si="102"/>
        <v/>
      </c>
      <c r="AA87" s="29" t="str">
        <f t="shared" si="102"/>
        <v/>
      </c>
      <c r="AB87" s="29" t="str">
        <f t="shared" si="102"/>
        <v/>
      </c>
      <c r="AC87" s="29" t="str">
        <f t="shared" si="102"/>
        <v/>
      </c>
      <c r="AD87" s="29" t="str">
        <f t="shared" si="102"/>
        <v/>
      </c>
    </row>
    <row r="88" spans="17:30">
      <c r="Q88" s="53" t="s">
        <v>17</v>
      </c>
      <c r="R88" s="65" t="s">
        <v>112</v>
      </c>
      <c r="S88" s="55" t="str">
        <f t="shared" ref="S88:AD88" si="103">IFERROR(S69*0.09/1.09,"")</f>
        <v/>
      </c>
      <c r="T88" s="55" t="str">
        <f t="shared" si="103"/>
        <v/>
      </c>
      <c r="U88" s="55" t="str">
        <f t="shared" si="103"/>
        <v/>
      </c>
      <c r="V88" s="55" t="str">
        <f t="shared" si="103"/>
        <v/>
      </c>
      <c r="W88" s="55" t="str">
        <f t="shared" si="103"/>
        <v/>
      </c>
      <c r="X88" s="55" t="str">
        <f t="shared" si="103"/>
        <v/>
      </c>
      <c r="Y88" s="55" t="str">
        <f t="shared" si="103"/>
        <v/>
      </c>
      <c r="Z88" s="55" t="str">
        <f t="shared" si="103"/>
        <v/>
      </c>
      <c r="AA88" s="55" t="str">
        <f t="shared" si="103"/>
        <v/>
      </c>
      <c r="AB88" s="55" t="str">
        <f t="shared" si="103"/>
        <v/>
      </c>
      <c r="AC88" s="55" t="str">
        <f t="shared" si="103"/>
        <v/>
      </c>
      <c r="AD88" s="55" t="str">
        <f t="shared" si="103"/>
        <v/>
      </c>
    </row>
    <row r="89" spans="17:30">
      <c r="Q89" s="64"/>
      <c r="R89" s="66" t="s">
        <v>115</v>
      </c>
      <c r="S89" s="57" t="str">
        <f t="shared" ref="S89:AD89" si="104">IFERROR((S71+S84+S85)*0.13/1.13+S76*0.06/1.06,"")</f>
        <v/>
      </c>
      <c r="T89" s="57" t="str">
        <f t="shared" si="104"/>
        <v/>
      </c>
      <c r="U89" s="57" t="str">
        <f t="shared" si="104"/>
        <v/>
      </c>
      <c r="V89" s="57" t="str">
        <f t="shared" si="104"/>
        <v/>
      </c>
      <c r="W89" s="57" t="str">
        <f t="shared" si="104"/>
        <v/>
      </c>
      <c r="X89" s="57" t="str">
        <f t="shared" si="104"/>
        <v/>
      </c>
      <c r="Y89" s="57" t="str">
        <f t="shared" si="104"/>
        <v/>
      </c>
      <c r="Z89" s="57" t="str">
        <f t="shared" si="104"/>
        <v/>
      </c>
      <c r="AA89" s="57" t="str">
        <f t="shared" si="104"/>
        <v/>
      </c>
      <c r="AB89" s="57" t="str">
        <f t="shared" si="104"/>
        <v/>
      </c>
      <c r="AC89" s="57" t="str">
        <f t="shared" si="104"/>
        <v/>
      </c>
      <c r="AD89" s="57" t="str">
        <f t="shared" si="104"/>
        <v/>
      </c>
    </row>
    <row r="90" spans="17:30">
      <c r="Q90" s="22"/>
      <c r="R90" s="23" t="s">
        <v>118</v>
      </c>
      <c r="S90" s="24" t="str">
        <f t="shared" ref="S90:AD90" si="105">IFERROR(MAX(0,S88-S89),"")</f>
        <v/>
      </c>
      <c r="T90" s="24" t="str">
        <f t="shared" si="105"/>
        <v/>
      </c>
      <c r="U90" s="24" t="str">
        <f t="shared" si="105"/>
        <v/>
      </c>
      <c r="V90" s="24" t="str">
        <f t="shared" si="105"/>
        <v/>
      </c>
      <c r="W90" s="24" t="str">
        <f t="shared" si="105"/>
        <v/>
      </c>
      <c r="X90" s="24" t="str">
        <f t="shared" si="105"/>
        <v/>
      </c>
      <c r="Y90" s="24" t="str">
        <f t="shared" si="105"/>
        <v/>
      </c>
      <c r="Z90" s="24" t="str">
        <f t="shared" si="105"/>
        <v/>
      </c>
      <c r="AA90" s="24" t="str">
        <f t="shared" si="105"/>
        <v/>
      </c>
      <c r="AB90" s="24" t="str">
        <f t="shared" si="105"/>
        <v/>
      </c>
      <c r="AC90" s="24" t="str">
        <f t="shared" si="105"/>
        <v/>
      </c>
      <c r="AD90" s="24" t="str">
        <f t="shared" si="105"/>
        <v/>
      </c>
    </row>
    <row r="91" ht="16.5" spans="17:30">
      <c r="Q91" s="44" t="s">
        <v>138</v>
      </c>
      <c r="R91" s="44"/>
      <c r="S91" s="76" t="str">
        <f t="shared" ref="S91:AD91" si="106">IFERROR(SUM(S71:S87)+S90,"")</f>
        <v/>
      </c>
      <c r="T91" s="76" t="str">
        <f t="shared" si="106"/>
        <v/>
      </c>
      <c r="U91" s="76" t="str">
        <f t="shared" si="106"/>
        <v/>
      </c>
      <c r="V91" s="76" t="str">
        <f t="shared" si="106"/>
        <v/>
      </c>
      <c r="W91" s="76" t="str">
        <f t="shared" si="106"/>
        <v/>
      </c>
      <c r="X91" s="76" t="str">
        <f t="shared" si="106"/>
        <v/>
      </c>
      <c r="Y91" s="76" t="str">
        <f t="shared" si="106"/>
        <v/>
      </c>
      <c r="Z91" s="76" t="str">
        <f t="shared" si="106"/>
        <v/>
      </c>
      <c r="AA91" s="76" t="str">
        <f t="shared" si="106"/>
        <v/>
      </c>
      <c r="AB91" s="76" t="str">
        <f t="shared" si="106"/>
        <v/>
      </c>
      <c r="AC91" s="76" t="str">
        <f t="shared" si="106"/>
        <v/>
      </c>
      <c r="AD91" s="76" t="str">
        <f t="shared" si="106"/>
        <v/>
      </c>
    </row>
    <row r="92" ht="16.5" spans="17:30">
      <c r="Q92" s="69" t="s">
        <v>140</v>
      </c>
      <c r="R92" s="69"/>
      <c r="S92" s="58" t="str">
        <f t="shared" ref="S92:AD92" si="107">IFERROR(S69-S91,"")</f>
        <v/>
      </c>
      <c r="T92" s="58" t="str">
        <f t="shared" si="107"/>
        <v/>
      </c>
      <c r="U92" s="58" t="str">
        <f t="shared" si="107"/>
        <v/>
      </c>
      <c r="V92" s="58" t="str">
        <f t="shared" si="107"/>
        <v/>
      </c>
      <c r="W92" s="58" t="str">
        <f t="shared" si="107"/>
        <v/>
      </c>
      <c r="X92" s="58" t="str">
        <f t="shared" si="107"/>
        <v/>
      </c>
      <c r="Y92" s="58" t="str">
        <f t="shared" si="107"/>
        <v/>
      </c>
      <c r="Z92" s="58" t="str">
        <f t="shared" si="107"/>
        <v/>
      </c>
      <c r="AA92" s="58" t="str">
        <f t="shared" si="107"/>
        <v/>
      </c>
      <c r="AB92" s="58" t="str">
        <f t="shared" si="107"/>
        <v/>
      </c>
      <c r="AC92" s="58" t="str">
        <f t="shared" si="107"/>
        <v/>
      </c>
      <c r="AD92" s="58" t="str">
        <f t="shared" si="107"/>
        <v/>
      </c>
    </row>
    <row r="93" spans="17:30">
      <c r="Q93" s="1" t="s">
        <v>133</v>
      </c>
    </row>
  </sheetData>
  <sheetProtection formatCells="0" formatColumns="0" formatRows="0"/>
  <protectedRanges>
    <protectedRange sqref="E2:N35 Q3:Q12 Q18:Q27 S38:AB38 AX3:AX7 AZ3:AZ7" name="区域1"/>
  </protectedRanges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ignoredErrors>
    <ignoredError sqref="A37:BK93 B36:BK36 A26:BK35 F22:BK25 A22:D25 A20:BK21 O18:BK19 A18:D19 A17:BK17 O16:BK16 A16:D16 A14:BK15 A12:D13 O12:BK13 AE4:AU7 A4:D10 A1:AW1 AZ1:BK1 A2:BK3" formula="1"/>
  </ignoredErrors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3"/>
  <sheetViews>
    <sheetView showGridLines="0" topLeftCell="R33" workbookViewId="0">
      <selection activeCell="AD58" sqref="AD58:AD60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9" width="10" style="1" customWidth="1"/>
    <col min="10" max="13" width="10" style="1" hidden="1" customWidth="1"/>
    <col min="14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X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8" t="s">
        <v>20</v>
      </c>
      <c r="F2" s="88" t="s">
        <v>22</v>
      </c>
      <c r="G2" s="88" t="s">
        <v>24</v>
      </c>
      <c r="H2" s="88" t="s">
        <v>25</v>
      </c>
      <c r="I2" s="88" t="s">
        <v>26</v>
      </c>
      <c r="J2" s="88" t="s">
        <v>27</v>
      </c>
      <c r="K2" s="88" t="s">
        <v>28</v>
      </c>
      <c r="L2" s="88" t="s">
        <v>29</v>
      </c>
      <c r="M2" s="88" t="s">
        <v>30</v>
      </c>
      <c r="N2" s="8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89" t="s">
        <v>48</v>
      </c>
      <c r="F3" s="89"/>
      <c r="G3" s="89"/>
      <c r="H3" s="89"/>
      <c r="I3" s="89"/>
      <c r="J3" s="89"/>
      <c r="K3" s="89"/>
      <c r="L3" s="89"/>
      <c r="M3" s="89"/>
      <c r="N3" s="89"/>
      <c r="Q3" s="90" t="s">
        <v>20</v>
      </c>
      <c r="R3" s="20" t="e">
        <f t="shared" ref="R3:W3" si="0">R18/$E$4</f>
        <v>#DIV/0!</v>
      </c>
      <c r="S3" s="20" t="e">
        <f t="shared" si="0"/>
        <v>#DIV/0!</v>
      </c>
      <c r="T3" s="20" t="e">
        <f t="shared" si="0"/>
        <v>#DIV/0!</v>
      </c>
      <c r="U3" s="20" t="e">
        <f t="shared" si="0"/>
        <v>#DIV/0!</v>
      </c>
      <c r="V3" s="20" t="e">
        <f t="shared" si="0"/>
        <v>#DIV/0!</v>
      </c>
      <c r="W3" s="20" t="e">
        <f t="shared" si="0"/>
        <v>#DIV/0!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0</v>
      </c>
      <c r="AK3" s="24" cm="1">
        <f t="array" ref="AK3">IF(AK2&lt;=$E$10,$E$4*SUMPRODUCT($E$7:$N$7,$E$8:$N$8,$E$9:$N$9),0)</f>
        <v>0</v>
      </c>
      <c r="AL3" s="24" cm="1">
        <f t="array" ref="AL3">IF(AL2&lt;=$E$10,$E$4*SUMPRODUCT($E$7:$N$7,$E$8:$N$8,$E$9:$N$9),0)</f>
        <v>0</v>
      </c>
      <c r="AM3" s="24" cm="1">
        <f t="array" ref="AM3">IF(AM2&lt;=$E$10,$E$4*SUMPRODUCT($E$7:$N$7,$E$8:$N$8,$E$9:$N$9),0)</f>
        <v>0</v>
      </c>
      <c r="AN3" s="24" cm="1">
        <f t="array" ref="AN3">IF(AN2&lt;=$E$10,$E$4*SUMPRODUCT($E$7:$N$7,$E$8:$N$8,$E$9:$N$9),0)</f>
        <v>0</v>
      </c>
      <c r="AO3" s="24" cm="1">
        <f t="array" ref="AO3">IF(AO2&lt;=$E$10,$E$4*SUMPRODUCT($E$7:$N$7,$E$8:$N$8,$E$9:$N$9),0)</f>
        <v>0</v>
      </c>
      <c r="AP3" s="24" cm="1">
        <f t="array" ref="AP3">IF(AP2&lt;=$E$10,$E$4*SUMPRODUCT($E$7:$N$7,$E$8:$N$8,$E$9:$N$9),0)</f>
        <v>0</v>
      </c>
      <c r="AQ3" s="24" cm="1">
        <f t="array" ref="AQ3">IF(AQ2&lt;=$E$10,$E$4*SUMPRODUCT($E$7:$N$7,$E$8:$N$8,$E$9:$N$9),0)</f>
        <v>0</v>
      </c>
      <c r="AR3" s="24" cm="1">
        <f t="array" ref="AR3">IF(AR2&lt;=$E$10,$E$4*SUMPRODUCT($E$7:$N$7,$E$8:$N$8,$E$9:$N$9),0)</f>
        <v>0</v>
      </c>
      <c r="AS3" s="24" cm="1">
        <f t="array" ref="AS3">IF(AS2&lt;=$E$10,$E$4*SUMPRODUCT($E$7:$N$7,$E$8:$N$8,$E$9:$N$9),0)</f>
        <v>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91" t="s">
        <v>50</v>
      </c>
      <c r="AY3" s="1" t="s">
        <v>51</v>
      </c>
      <c r="AZ3" s="92">
        <v>0.02</v>
      </c>
      <c r="BA3" s="2">
        <f t="shared" ref="BA3:BE3" si="1">IF($AX3="✔",$BF3+BA$2*$AZ3,$BF3)</f>
        <v>-0.1</v>
      </c>
      <c r="BB3" s="2">
        <f t="shared" si="1"/>
        <v>-0.08</v>
      </c>
      <c r="BC3" s="2">
        <f t="shared" si="1"/>
        <v>-0.06</v>
      </c>
      <c r="BD3" s="2">
        <f t="shared" si="1"/>
        <v>-0.04</v>
      </c>
      <c r="BE3" s="2">
        <f t="shared" si="1"/>
        <v>-0.02</v>
      </c>
      <c r="BF3" s="2">
        <f>$E$5</f>
        <v>0</v>
      </c>
      <c r="BG3" s="2">
        <f t="shared" ref="BG3:BK3" si="2">IF($AX3="✔",$BF3+BG$2*$AZ3,$BF3)</f>
        <v>0.02</v>
      </c>
      <c r="BH3" s="2">
        <f t="shared" si="2"/>
        <v>0.04</v>
      </c>
      <c r="BI3" s="2">
        <f t="shared" si="2"/>
        <v>0.06</v>
      </c>
      <c r="BJ3" s="2">
        <f t="shared" si="2"/>
        <v>0.08</v>
      </c>
      <c r="BK3" s="2">
        <f t="shared" si="2"/>
        <v>0.1</v>
      </c>
    </row>
    <row r="4" s="1" customFormat="1" spans="1:63">
      <c r="A4" s="15"/>
      <c r="B4" s="16" t="s">
        <v>52</v>
      </c>
      <c r="C4" s="17" t="s">
        <v>53</v>
      </c>
      <c r="D4" s="17"/>
      <c r="E4" s="93"/>
      <c r="F4" s="93"/>
      <c r="G4" s="93"/>
      <c r="H4" s="93"/>
      <c r="I4" s="93"/>
      <c r="J4" s="93"/>
      <c r="K4" s="93"/>
      <c r="L4" s="93"/>
      <c r="M4" s="93"/>
      <c r="N4" s="93"/>
      <c r="Q4" s="90" t="s">
        <v>22</v>
      </c>
      <c r="R4" s="20" t="e">
        <f t="shared" ref="R4:W4" si="3">R19/$E$4</f>
        <v>#DIV/0!</v>
      </c>
      <c r="S4" s="20" t="e">
        <f t="shared" si="3"/>
        <v>#DIV/0!</v>
      </c>
      <c r="T4" s="20" t="e">
        <f t="shared" si="3"/>
        <v>#DIV/0!</v>
      </c>
      <c r="U4" s="20" t="e">
        <f t="shared" si="3"/>
        <v>#DIV/0!</v>
      </c>
      <c r="V4" s="20" t="e">
        <f t="shared" si="3"/>
        <v>#DIV/0!</v>
      </c>
      <c r="W4" s="20" t="e">
        <f t="shared" si="3"/>
        <v>#DIV/0!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91"/>
      <c r="AY4" s="1" t="s">
        <v>55</v>
      </c>
      <c r="AZ4" s="92">
        <v>2</v>
      </c>
      <c r="BA4" s="30" t="str" cm="1">
        <f t="array" ref="BA4">IF($AX4="✔",_xlfn.TEXTJOIN(",",TRUE,IF($E$7:$N$7&lt;&gt;"",$E$2:$N$2&amp;":"&amp;$E$7:$N$7+BA$2*$AZ4,"")),$BF$4)</f>
        <v/>
      </c>
      <c r="BB4" s="30" t="str" cm="1">
        <f t="array" ref="BB4">IF($AX4="✔",_xlfn.TEXTJOIN(",",TRUE,IF($E$7:$N$7&lt;&gt;"",$E$2:$N$2&amp;":"&amp;$E$7:$N$7+BB$2*$AZ4,"")),$BF$4)</f>
        <v/>
      </c>
      <c r="BC4" s="30" t="str" cm="1">
        <f t="array" ref="BC4">IF($AX4="✔",_xlfn.TEXTJOIN(",",TRUE,IF($E$7:$N$7&lt;&gt;"",$E$2:$N$2&amp;":"&amp;$E$7:$N$7+BC$2*$AZ4,"")),$BF$4)</f>
        <v/>
      </c>
      <c r="BD4" s="30" t="str" cm="1">
        <f t="array" ref="BD4">IF($AX4="✔",_xlfn.TEXTJOIN(",",TRUE,IF($E$7:$N$7&lt;&gt;"",$E$2:$N$2&amp;":"&amp;$E$7:$N$7+BD$2*$AZ4,"")),$BF$4)</f>
        <v/>
      </c>
      <c r="BE4" s="30" t="str" cm="1">
        <f t="array" ref="BE4">IF($AX4="✔",_xlfn.TEXTJOIN(",",TRUE,IF($E$7:$N$7&lt;&gt;"",$E$2:$N$2&amp;":"&amp;$E$7:$N$7+BE$2*$AZ4,"")),$BF$4)</f>
        <v/>
      </c>
      <c r="BF4" s="31" t="str" cm="1">
        <f t="array" ref="BF4">_xlfn.TEXTJOIN(", ",TRUE,IF($E$7:$N$7&lt;&gt;"",$E$2:$N$2&amp;":"&amp;$E$7:$N$7,""))</f>
        <v/>
      </c>
      <c r="BG4" s="30" t="str" cm="1">
        <f t="array" ref="BG4">IF($AX4="✔",_xlfn.TEXTJOIN(",",TRUE,IF($E$7:$N$7&lt;&gt;"",$E$2:$N$2&amp;":"&amp;$E$7:$N$7+BG$2*$AZ4,"")),$BF$4)</f>
        <v/>
      </c>
      <c r="BH4" s="30" t="str" cm="1">
        <f t="array" ref="BH4">IF($AX4="✔",_xlfn.TEXTJOIN(",",TRUE,IF($E$7:$N$7&lt;&gt;"",$E$2:$N$2&amp;":"&amp;$E$7:$N$7+BH$2*$AZ4,"")),$BF$4)</f>
        <v/>
      </c>
      <c r="BI4" s="30" t="str" cm="1">
        <f t="array" ref="BI4">IF($AX4="✔",_xlfn.TEXTJOIN(",",TRUE,IF($E$7:$N$7&lt;&gt;"",$E$2:$N$2&amp;":"&amp;$E$7:$N$7+BI$2*$AZ4,"")),$BF$4)</f>
        <v/>
      </c>
      <c r="BJ4" s="30" t="str" cm="1">
        <f t="array" ref="BJ4">IF($AX4="✔",_xlfn.TEXTJOIN(",",TRUE,IF($E$7:$N$7&lt;&gt;"",$E$2:$N$2&amp;":"&amp;$E$7:$N$7+BJ$2*$AZ4,"")),$BF$4)</f>
        <v/>
      </c>
      <c r="BK4" s="30" t="str" cm="1">
        <f t="array" ref="BK4">IF($AX4="✔",_xlfn.TEXTJOIN(",",TRUE,IF($E$7:$N$7&lt;&gt;"",$E$2:$N$2&amp;":"&amp;$E$7:$N$7+BK$2*$AZ4,"")),$BF$4)</f>
        <v/>
      </c>
    </row>
    <row r="5" s="1" customFormat="1" ht="16.5" spans="1:63">
      <c r="A5" s="15"/>
      <c r="B5" s="16" t="s">
        <v>51</v>
      </c>
      <c r="C5" s="17" t="s">
        <v>56</v>
      </c>
      <c r="D5" s="17"/>
      <c r="E5" s="94"/>
      <c r="F5" s="94"/>
      <c r="G5" s="94"/>
      <c r="H5" s="94"/>
      <c r="I5" s="94"/>
      <c r="J5" s="94"/>
      <c r="K5" s="94"/>
      <c r="L5" s="94"/>
      <c r="M5" s="94"/>
      <c r="N5" s="94"/>
      <c r="Q5" s="90" t="s">
        <v>24</v>
      </c>
      <c r="R5" s="20" t="e">
        <f t="shared" ref="R5:W5" si="4">R20/$E$4</f>
        <v>#DIV/0!</v>
      </c>
      <c r="S5" s="20" t="e">
        <f t="shared" si="4"/>
        <v>#DIV/0!</v>
      </c>
      <c r="T5" s="20" t="e">
        <f t="shared" si="4"/>
        <v>#DIV/0!</v>
      </c>
      <c r="U5" s="20" t="e">
        <f t="shared" si="4"/>
        <v>#DIV/0!</v>
      </c>
      <c r="V5" s="20" t="e">
        <f t="shared" si="4"/>
        <v>#DIV/0!</v>
      </c>
      <c r="W5" s="20" t="e">
        <f t="shared" si="4"/>
        <v>#DIV/0!</v>
      </c>
      <c r="AE5" s="33"/>
      <c r="AF5" s="34"/>
      <c r="AG5" s="28"/>
      <c r="AH5" s="1" t="s">
        <v>57</v>
      </c>
      <c r="AI5" s="35"/>
      <c r="AJ5" s="29">
        <f t="shared" ref="AJ5:AU5" si="5">IF(AJ2&lt;=$E$12,$E$4*$E$13,0)</f>
        <v>0</v>
      </c>
      <c r="AK5" s="29">
        <f t="shared" si="5"/>
        <v>0</v>
      </c>
      <c r="AL5" s="29">
        <f t="shared" si="5"/>
        <v>0</v>
      </c>
      <c r="AM5" s="29">
        <f t="shared" si="5"/>
        <v>0</v>
      </c>
      <c r="AN5" s="29">
        <f t="shared" si="5"/>
        <v>0</v>
      </c>
      <c r="AO5" s="29">
        <f t="shared" si="5"/>
        <v>0</v>
      </c>
      <c r="AP5" s="29">
        <f t="shared" si="5"/>
        <v>0</v>
      </c>
      <c r="AQ5" s="29">
        <f t="shared" si="5"/>
        <v>0</v>
      </c>
      <c r="AR5" s="29">
        <f t="shared" si="5"/>
        <v>0</v>
      </c>
      <c r="AS5" s="29">
        <f t="shared" si="5"/>
        <v>0</v>
      </c>
      <c r="AT5" s="29">
        <f t="shared" si="5"/>
        <v>0</v>
      </c>
      <c r="AU5" s="29">
        <f t="shared" si="5"/>
        <v>0</v>
      </c>
      <c r="AX5" s="91"/>
      <c r="AY5" s="1" t="s">
        <v>58</v>
      </c>
      <c r="AZ5" s="92">
        <v>1</v>
      </c>
      <c r="BA5" s="30" t="str" cm="1">
        <f t="array" ref="BA5">IF($AX5="✔",_xlfn.TEXTJOIN(",",TRUE,IF($E$9:$N$9&lt;&gt;"",$E$2:$N$2&amp;":"&amp;$E$9:$N$9+BA$2*$AZ5,"")),$BF$5)</f>
        <v/>
      </c>
      <c r="BB5" s="30" t="str" cm="1">
        <f t="array" ref="BB5">IF($AX5="✔",_xlfn.TEXTJOIN(",",TRUE,IF($E$9:$N$9&lt;&gt;"",$E$2:$N$2&amp;":"&amp;$E$9:$N$9+BB$2*$AZ5,"")),$BF$5)</f>
        <v/>
      </c>
      <c r="BC5" s="30" t="str" cm="1">
        <f t="array" ref="BC5">IF($AX5="✔",_xlfn.TEXTJOIN(",",TRUE,IF($E$9:$N$9&lt;&gt;"",$E$2:$N$2&amp;":"&amp;$E$9:$N$9+BC$2*$AZ5,"")),$BF$5)</f>
        <v/>
      </c>
      <c r="BD5" s="30" t="str" cm="1">
        <f t="array" ref="BD5">IF($AX5="✔",_xlfn.TEXTJOIN(",",TRUE,IF($E$9:$N$9&lt;&gt;"",$E$2:$N$2&amp;":"&amp;$E$9:$N$9+BD$2*$AZ5,"")),$BF$5)</f>
        <v/>
      </c>
      <c r="BE5" s="30" t="str" cm="1">
        <f t="array" ref="BE5">IF($AX5="✔",_xlfn.TEXTJOIN(",",TRUE,IF($E$9:$N$9&lt;&gt;"",$E$2:$N$2&amp;":"&amp;$E$9:$N$9+BE$2*$AZ5,"")),$BF$5)</f>
        <v/>
      </c>
      <c r="BF5" s="31" t="str" cm="1">
        <f t="array" ref="BF5">_xlfn.TEXTJOIN(", ",TRUE,IF($E$9:$N$9&lt;&gt;"",$E$2:$N$2&amp;":"&amp;$E$9:$N$9,""))</f>
        <v/>
      </c>
      <c r="BG5" s="30" t="str" cm="1">
        <f t="array" ref="BG5">IF($AX5="✔",_xlfn.TEXTJOIN(",",TRUE,IF($E$9:$N$9&lt;&gt;"",$E$2:$N$2&amp;":"&amp;$E$9:$N$9+BG$2*$AZ5,"")),$BF$5)</f>
        <v/>
      </c>
      <c r="BH5" s="30" t="str" cm="1">
        <f t="array" ref="BH5">IF($AX5="✔",_xlfn.TEXTJOIN(",",TRUE,IF($E$9:$N$9&lt;&gt;"",$E$2:$N$2&amp;":"&amp;$E$9:$N$9+BH$2*$AZ5,"")),$BF$5)</f>
        <v/>
      </c>
      <c r="BI5" s="30" t="str" cm="1">
        <f t="array" ref="BI5">IF($AX5="✔",_xlfn.TEXTJOIN(",",TRUE,IF($E$9:$N$9&lt;&gt;"",$E$2:$N$2&amp;":"&amp;$E$9:$N$9+BI$2*$AZ5,"")),$BF$5)</f>
        <v/>
      </c>
      <c r="BJ5" s="30" t="str" cm="1">
        <f t="array" ref="BJ5">IF($AX5="✔",_xlfn.TEXTJOIN(",",TRUE,IF($E$9:$N$9&lt;&gt;"",$E$2:$N$2&amp;":"&amp;$E$9:$N$9+BJ$2*$AZ5,"")),$BF$5)</f>
        <v/>
      </c>
      <c r="BK5" s="30" t="str" cm="1">
        <f t="array" ref="BK5">IF($AX5="✔",_xlfn.TEXTJOIN(",",TRUE,IF($E$9:$N$9&lt;&gt;"",$E$2:$N$2&amp;":"&amp;$E$9:$N$9+BK$2*$AZ5,"")),$BF$5)</f>
        <v/>
      </c>
    </row>
    <row r="6" s="1" customFormat="1" spans="1:63">
      <c r="A6" s="15"/>
      <c r="B6" s="16" t="s">
        <v>59</v>
      </c>
      <c r="C6" s="17" t="s">
        <v>60</v>
      </c>
      <c r="D6" s="17"/>
      <c r="E6" s="95"/>
      <c r="F6" s="95"/>
      <c r="G6" s="95"/>
      <c r="H6" s="95"/>
      <c r="I6" s="95"/>
      <c r="J6" s="95"/>
      <c r="K6" s="95"/>
      <c r="L6" s="95"/>
      <c r="M6" s="95"/>
      <c r="N6" s="95"/>
      <c r="Q6" s="90" t="s">
        <v>25</v>
      </c>
      <c r="R6" s="20" t="e">
        <f t="shared" ref="R6:W6" si="6">R21/$E$4</f>
        <v>#DIV/0!</v>
      </c>
      <c r="S6" s="20" t="e">
        <f t="shared" si="6"/>
        <v>#DIV/0!</v>
      </c>
      <c r="T6" s="20" t="e">
        <f t="shared" si="6"/>
        <v>#DIV/0!</v>
      </c>
      <c r="U6" s="20" t="e">
        <f t="shared" si="6"/>
        <v>#DIV/0!</v>
      </c>
      <c r="V6" s="20" t="e">
        <f t="shared" si="6"/>
        <v>#DIV/0!</v>
      </c>
      <c r="W6" s="20" t="e">
        <f t="shared" si="6"/>
        <v>#DIV/0!</v>
      </c>
      <c r="AE6" s="27"/>
      <c r="AF6" s="37"/>
      <c r="AG6" s="28"/>
      <c r="AH6" s="1" t="s">
        <v>61</v>
      </c>
      <c r="AI6" s="35"/>
      <c r="AJ6" s="29">
        <f t="shared" ref="AJ6:AU6" si="7">$E$14*$E$4</f>
        <v>0</v>
      </c>
      <c r="AK6" s="29">
        <f t="shared" si="7"/>
        <v>0</v>
      </c>
      <c r="AL6" s="29">
        <f t="shared" si="7"/>
        <v>0</v>
      </c>
      <c r="AM6" s="29">
        <f t="shared" si="7"/>
        <v>0</v>
      </c>
      <c r="AN6" s="29">
        <f t="shared" si="7"/>
        <v>0</v>
      </c>
      <c r="AO6" s="29">
        <f t="shared" si="7"/>
        <v>0</v>
      </c>
      <c r="AP6" s="29">
        <f t="shared" si="7"/>
        <v>0</v>
      </c>
      <c r="AQ6" s="29">
        <f t="shared" si="7"/>
        <v>0</v>
      </c>
      <c r="AR6" s="29">
        <f t="shared" si="7"/>
        <v>0</v>
      </c>
      <c r="AS6" s="29">
        <f t="shared" si="7"/>
        <v>0</v>
      </c>
      <c r="AT6" s="29">
        <f t="shared" si="7"/>
        <v>0</v>
      </c>
      <c r="AU6" s="29">
        <f t="shared" si="7"/>
        <v>0</v>
      </c>
      <c r="AX6" s="91" t="s">
        <v>50</v>
      </c>
      <c r="AY6" s="38" t="s">
        <v>62</v>
      </c>
      <c r="AZ6" s="96">
        <v>300</v>
      </c>
      <c r="BA6" s="2">
        <f t="shared" ref="BA6:BE6" si="8">IF($AX6="✔",$BF6+BA$2*$AZ6,$BF6)</f>
        <v>-1500</v>
      </c>
      <c r="BB6" s="2">
        <f t="shared" si="8"/>
        <v>-1200</v>
      </c>
      <c r="BC6" s="2">
        <f t="shared" si="8"/>
        <v>-900</v>
      </c>
      <c r="BD6" s="2">
        <f t="shared" si="8"/>
        <v>-600</v>
      </c>
      <c r="BE6" s="2">
        <f t="shared" si="8"/>
        <v>-300</v>
      </c>
      <c r="BF6" s="40">
        <f>$E$13</f>
        <v>0</v>
      </c>
      <c r="BG6" s="2">
        <f t="shared" ref="BG6:BK6" si="9">IF($AX6="✔",$BF6+BG$2*$AZ6,$BF6)</f>
        <v>300</v>
      </c>
      <c r="BH6" s="2">
        <f t="shared" si="9"/>
        <v>600</v>
      </c>
      <c r="BI6" s="2">
        <f t="shared" si="9"/>
        <v>900</v>
      </c>
      <c r="BJ6" s="2">
        <f t="shared" si="9"/>
        <v>1200</v>
      </c>
      <c r="BK6" s="2">
        <f t="shared" si="9"/>
        <v>1500</v>
      </c>
    </row>
    <row r="7" s="1" customFormat="1" spans="1:63">
      <c r="A7" s="15"/>
      <c r="B7" s="16" t="s">
        <v>55</v>
      </c>
      <c r="C7" s="17" t="s">
        <v>63</v>
      </c>
      <c r="D7" s="17"/>
      <c r="E7" s="95"/>
      <c r="F7" s="95"/>
      <c r="G7" s="95"/>
      <c r="H7" s="95"/>
      <c r="I7" s="95"/>
      <c r="J7" s="95"/>
      <c r="K7" s="95"/>
      <c r="L7" s="95"/>
      <c r="M7" s="95"/>
      <c r="N7" s="95"/>
      <c r="Q7" s="90" t="s">
        <v>26</v>
      </c>
      <c r="R7" s="20" t="e">
        <f t="shared" ref="R7:W7" si="10">R22/$E$4</f>
        <v>#DIV/0!</v>
      </c>
      <c r="S7" s="20" t="e">
        <f t="shared" si="10"/>
        <v>#DIV/0!</v>
      </c>
      <c r="T7" s="20" t="e">
        <f t="shared" si="10"/>
        <v>#DIV/0!</v>
      </c>
      <c r="U7" s="20" t="e">
        <f t="shared" si="10"/>
        <v>#DIV/0!</v>
      </c>
      <c r="V7" s="20" t="e">
        <f t="shared" si="10"/>
        <v>#DIV/0!</v>
      </c>
      <c r="W7" s="20" t="e">
        <f t="shared" si="10"/>
        <v>#DIV/0!</v>
      </c>
      <c r="AE7" s="27"/>
      <c r="AF7" s="37"/>
      <c r="AG7" s="28"/>
      <c r="AH7" s="1" t="s">
        <v>64</v>
      </c>
      <c r="AI7" s="35"/>
      <c r="AJ7" s="29">
        <f t="shared" ref="AJ7:AU7" si="11">$E$4*$E$15</f>
        <v>0</v>
      </c>
      <c r="AK7" s="29">
        <f t="shared" si="11"/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91"/>
      <c r="AY7" s="1" t="s">
        <v>65</v>
      </c>
      <c r="AZ7" s="9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95"/>
      <c r="F8" s="95"/>
      <c r="G8" s="95"/>
      <c r="H8" s="95"/>
      <c r="I8" s="95"/>
      <c r="J8" s="95"/>
      <c r="K8" s="95"/>
      <c r="L8" s="95"/>
      <c r="M8" s="95"/>
      <c r="N8" s="95"/>
      <c r="Q8" s="90" t="s">
        <v>27</v>
      </c>
      <c r="R8" s="20" t="e">
        <f t="shared" ref="R8:W8" si="14">R23/$E$4</f>
        <v>#DIV/0!</v>
      </c>
      <c r="S8" s="20" t="e">
        <f t="shared" si="14"/>
        <v>#DIV/0!</v>
      </c>
      <c r="T8" s="20" t="e">
        <f t="shared" si="14"/>
        <v>#DIV/0!</v>
      </c>
      <c r="U8" s="20" t="e">
        <f t="shared" si="14"/>
        <v>#DIV/0!</v>
      </c>
      <c r="V8" s="20" t="e">
        <f t="shared" si="14"/>
        <v>#DIV/0!</v>
      </c>
      <c r="W8" s="20" t="e">
        <f t="shared" si="14"/>
        <v>#DIV/0!</v>
      </c>
      <c r="AE8" s="27"/>
      <c r="AF8" s="37"/>
      <c r="AG8" s="28"/>
      <c r="AH8" s="1" t="s">
        <v>68</v>
      </c>
      <c r="AI8" s="35"/>
      <c r="AJ8" s="29">
        <f t="shared" ref="AJ8:AU8" si="15">$E$4*$E$16</f>
        <v>0</v>
      </c>
      <c r="AK8" s="29">
        <f t="shared" si="15"/>
        <v>0</v>
      </c>
      <c r="AL8" s="29">
        <f t="shared" si="15"/>
        <v>0</v>
      </c>
      <c r="AM8" s="29">
        <f t="shared" si="15"/>
        <v>0</v>
      </c>
      <c r="AN8" s="29">
        <f t="shared" si="15"/>
        <v>0</v>
      </c>
      <c r="AO8" s="29">
        <f t="shared" si="15"/>
        <v>0</v>
      </c>
      <c r="AP8" s="29">
        <f t="shared" si="15"/>
        <v>0</v>
      </c>
      <c r="AQ8" s="29">
        <f t="shared" si="15"/>
        <v>0</v>
      </c>
      <c r="AR8" s="29">
        <f t="shared" si="15"/>
        <v>0</v>
      </c>
      <c r="AS8" s="29">
        <f t="shared" si="15"/>
        <v>0</v>
      </c>
      <c r="AT8" s="29">
        <f t="shared" si="15"/>
        <v>0</v>
      </c>
      <c r="AU8" s="29">
        <f t="shared" si="15"/>
        <v>0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95"/>
      <c r="F9" s="95"/>
      <c r="G9" s="95"/>
      <c r="H9" s="95"/>
      <c r="I9" s="95"/>
      <c r="J9" s="95"/>
      <c r="K9" s="95"/>
      <c r="L9" s="95"/>
      <c r="M9" s="95"/>
      <c r="N9" s="95"/>
      <c r="Q9" s="90" t="s">
        <v>28</v>
      </c>
      <c r="R9" s="20" t="e">
        <f t="shared" ref="R9:W9" si="16">R24/$E$4</f>
        <v>#DIV/0!</v>
      </c>
      <c r="S9" s="20" t="e">
        <f t="shared" si="16"/>
        <v>#DIV/0!</v>
      </c>
      <c r="T9" s="20" t="e">
        <f t="shared" si="16"/>
        <v>#DIV/0!</v>
      </c>
      <c r="U9" s="20" t="e">
        <f t="shared" si="16"/>
        <v>#DIV/0!</v>
      </c>
      <c r="V9" s="20" t="e">
        <f t="shared" si="16"/>
        <v>#DIV/0!</v>
      </c>
      <c r="W9" s="20" t="e">
        <f t="shared" si="16"/>
        <v>#DIV/0!</v>
      </c>
      <c r="AE9" s="27"/>
      <c r="AF9" s="37"/>
      <c r="AG9" s="28"/>
      <c r="AH9" s="1" t="s">
        <v>71</v>
      </c>
      <c r="AI9" s="35"/>
      <c r="AJ9" s="29">
        <f t="shared" ref="AJ9:AU9" si="17">$E$4*$E$17</f>
        <v>0</v>
      </c>
      <c r="AK9" s="29">
        <f t="shared" si="17"/>
        <v>0</v>
      </c>
      <c r="AL9" s="29">
        <f t="shared" si="17"/>
        <v>0</v>
      </c>
      <c r="AM9" s="29">
        <f t="shared" si="17"/>
        <v>0</v>
      </c>
      <c r="AN9" s="29">
        <f t="shared" si="17"/>
        <v>0</v>
      </c>
      <c r="AO9" s="29">
        <f t="shared" si="17"/>
        <v>0</v>
      </c>
      <c r="AP9" s="29">
        <f t="shared" si="17"/>
        <v>0</v>
      </c>
      <c r="AQ9" s="29">
        <f t="shared" si="17"/>
        <v>0</v>
      </c>
      <c r="AR9" s="29">
        <f t="shared" si="17"/>
        <v>0</v>
      </c>
      <c r="AS9" s="29">
        <f t="shared" si="17"/>
        <v>0</v>
      </c>
      <c r="AT9" s="29">
        <f t="shared" si="17"/>
        <v>0</v>
      </c>
      <c r="AU9" s="29">
        <f t="shared" si="17"/>
        <v>0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0</v>
      </c>
      <c r="BB9" s="29" cm="1">
        <f t="array" ref="BB9">_xlfn.LET(_xlpm.p,IF($AX$4="✔",$AZ$4,0),_xlpm.n,IF($AX$5="✔",$AZ$5,0),SUMPRODUCT($E$7:$N$7+BB$2*_xlpm.p,$E$8:$N$8,$E$9:$N$9+BB$2*_xlpm.n))</f>
        <v>0</v>
      </c>
      <c r="BC9" s="29" cm="1">
        <f t="array" ref="BC9">_xlfn.LET(_xlpm.p,IF($AX$4="✔",$AZ$4,0),_xlpm.n,IF($AX$5="✔",$AZ$5,0),SUMPRODUCT($E$7:$N$7+BC$2*_xlpm.p,$E$8:$N$8,$E$9:$N$9+BC$2*_xlpm.n))</f>
        <v>0</v>
      </c>
      <c r="BD9" s="29" cm="1">
        <f t="array" ref="BD9">_xlfn.LET(_xlpm.p,IF($AX$4="✔",$AZ$4,0),_xlpm.n,IF($AX$5="✔",$AZ$5,0),SUMPRODUCT($E$7:$N$7+BD$2*_xlpm.p,$E$8:$N$8,$E$9:$N$9+BD$2*_xlpm.n))</f>
        <v>0</v>
      </c>
      <c r="BE9" s="29" cm="1">
        <f t="array" ref="BE9">_xlfn.LET(_xlpm.p,IF($AX$4="✔",$AZ$4,0),_xlpm.n,IF($AX$5="✔",$AZ$5,0),SUMPRODUCT($E$7:$N$7+BE$2*_xlpm.p,$E$8:$N$8,$E$9:$N$9+BE$2*_xlpm.n))</f>
        <v>0</v>
      </c>
      <c r="BF9" s="29" cm="1">
        <f t="array" ref="BF9">(SUMPRODUCT($E$7:$N$7,$E$8:$N$8,$E$9:$N$9))</f>
        <v>0</v>
      </c>
      <c r="BG9" s="29" cm="1">
        <f t="array" ref="BG9">_xlfn.LET(_xlpm.p,IF($AX$4="✔",$AZ$4,0),_xlpm.n,IF($AX$5="✔",$AZ$5,0),SUMPRODUCT($E$7:$N$7+BG$2*_xlpm.p,$E$8:$N$8,$E$9:$N$9+BG$2*_xlpm.n))</f>
        <v>0</v>
      </c>
      <c r="BH9" s="29" cm="1">
        <f t="array" ref="BH9">_xlfn.LET(_xlpm.p,IF($AX$4="✔",$AZ$4,0),_xlpm.n,IF($AX$5="✔",$AZ$5,0),SUMPRODUCT($E$7:$N$7+BH$2*_xlpm.p,$E$8:$N$8,$E$9:$N$9+BH$2*_xlpm.n))</f>
        <v>0</v>
      </c>
      <c r="BI9" s="29" cm="1">
        <f t="array" ref="BI9">_xlfn.LET(_xlpm.p,IF($AX$4="✔",$AZ$4,0),_xlpm.n,IF($AX$5="✔",$AZ$5,0),SUMPRODUCT($E$7:$N$7+BI$2*_xlpm.p,$E$8:$N$8,$E$9:$N$9+BI$2*_xlpm.n))</f>
        <v>0</v>
      </c>
      <c r="BJ9" s="29" cm="1">
        <f t="array" ref="BJ9">_xlfn.LET(_xlpm.p,IF($AX$4="✔",$AZ$4,0),_xlpm.n,IF($AX$5="✔",$AZ$5,0),SUMPRODUCT($E$7:$N$7+BJ$2*_xlpm.p,$E$8:$N$8,$E$9:$N$9+BJ$2*_xlpm.n))</f>
        <v>0</v>
      </c>
      <c r="BK9" s="29" cm="1">
        <f t="array" ref="BK9">_xlfn.LET(_xlpm.p,IF($AX$4="✔",$AZ$4,0),_xlpm.n,IF($AX$5="✔",$AZ$5,0),SUMPRODUCT($E$7:$N$7+BK$2*_xlpm.p,$E$8:$N$8,$E$9:$N$9+BK$2*_xlpm.n))</f>
        <v>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95"/>
      <c r="F10" s="95"/>
      <c r="G10" s="95"/>
      <c r="H10" s="95"/>
      <c r="I10" s="95"/>
      <c r="J10" s="95"/>
      <c r="K10" s="95"/>
      <c r="L10" s="95"/>
      <c r="M10" s="95"/>
      <c r="N10" s="95"/>
      <c r="Q10" s="90" t="s">
        <v>29</v>
      </c>
      <c r="R10" s="20" t="e">
        <f t="shared" ref="R10:W10" si="18">R25/$E$4</f>
        <v>#DIV/0!</v>
      </c>
      <c r="S10" s="20" t="e">
        <f t="shared" si="18"/>
        <v>#DIV/0!</v>
      </c>
      <c r="T10" s="20" t="e">
        <f t="shared" si="18"/>
        <v>#DIV/0!</v>
      </c>
      <c r="U10" s="20" t="e">
        <f t="shared" si="18"/>
        <v>#DIV/0!</v>
      </c>
      <c r="V10" s="20" t="e">
        <f t="shared" si="18"/>
        <v>#DIV/0!</v>
      </c>
      <c r="W10" s="20" t="e">
        <f t="shared" si="18"/>
        <v>#DIV/0!</v>
      </c>
      <c r="AE10" s="27"/>
      <c r="AF10" s="37"/>
      <c r="AG10" s="28"/>
      <c r="AH10" s="1" t="s">
        <v>74</v>
      </c>
      <c r="AI10" s="35"/>
      <c r="AJ10" s="29">
        <f t="shared" ref="AJ10:AU10" si="19">$E$4*$E$18</f>
        <v>0</v>
      </c>
      <c r="AK10" s="29">
        <f t="shared" si="19"/>
        <v>0</v>
      </c>
      <c r="AL10" s="29">
        <f t="shared" si="19"/>
        <v>0</v>
      </c>
      <c r="AM10" s="29">
        <f t="shared" si="19"/>
        <v>0</v>
      </c>
      <c r="AN10" s="29">
        <f t="shared" si="19"/>
        <v>0</v>
      </c>
      <c r="AO10" s="29">
        <f t="shared" si="19"/>
        <v>0</v>
      </c>
      <c r="AP10" s="29">
        <f t="shared" si="19"/>
        <v>0</v>
      </c>
      <c r="AQ10" s="29">
        <f t="shared" si="19"/>
        <v>0</v>
      </c>
      <c r="AR10" s="29">
        <f t="shared" si="19"/>
        <v>0</v>
      </c>
      <c r="AS10" s="29">
        <f t="shared" si="19"/>
        <v>0</v>
      </c>
      <c r="AT10" s="29">
        <f t="shared" si="19"/>
        <v>0</v>
      </c>
      <c r="AU10" s="29">
        <f t="shared" si="19"/>
        <v>0</v>
      </c>
      <c r="AX10" s="44" t="s">
        <v>75</v>
      </c>
      <c r="AY10" s="44"/>
      <c r="AZ10" s="44"/>
      <c r="BA10" s="45">
        <f t="shared" ref="BA10:BK10" si="20">BA9</f>
        <v>0</v>
      </c>
      <c r="BB10" s="45">
        <f t="shared" si="20"/>
        <v>0</v>
      </c>
      <c r="BC10" s="45">
        <f t="shared" si="20"/>
        <v>0</v>
      </c>
      <c r="BD10" s="45">
        <f t="shared" si="20"/>
        <v>0</v>
      </c>
      <c r="BE10" s="45">
        <f t="shared" si="20"/>
        <v>0</v>
      </c>
      <c r="BF10" s="45">
        <f t="shared" si="20"/>
        <v>0</v>
      </c>
      <c r="BG10" s="45">
        <f t="shared" si="20"/>
        <v>0</v>
      </c>
      <c r="BH10" s="45">
        <f t="shared" si="20"/>
        <v>0</v>
      </c>
      <c r="BI10" s="45">
        <f t="shared" si="20"/>
        <v>0</v>
      </c>
      <c r="BJ10" s="45">
        <f t="shared" si="20"/>
        <v>0</v>
      </c>
      <c r="BK10" s="45">
        <f t="shared" si="20"/>
        <v>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94">
        <v>0</v>
      </c>
      <c r="F11" s="94"/>
      <c r="G11" s="94"/>
      <c r="H11" s="94"/>
      <c r="I11" s="94"/>
      <c r="J11" s="94"/>
      <c r="K11" s="94"/>
      <c r="L11" s="94"/>
      <c r="M11" s="94"/>
      <c r="N11" s="94"/>
      <c r="Q11" s="90" t="s">
        <v>30</v>
      </c>
      <c r="R11" s="20" t="e">
        <f t="shared" ref="R11:W11" si="21">R26/$E$4</f>
        <v>#DIV/0!</v>
      </c>
      <c r="S11" s="20" t="e">
        <f t="shared" si="21"/>
        <v>#DIV/0!</v>
      </c>
      <c r="T11" s="20" t="e">
        <f t="shared" si="21"/>
        <v>#DIV/0!</v>
      </c>
      <c r="U11" s="20" t="e">
        <f t="shared" si="21"/>
        <v>#DIV/0!</v>
      </c>
      <c r="V11" s="20" t="e">
        <f t="shared" si="21"/>
        <v>#DIV/0!</v>
      </c>
      <c r="W11" s="20" t="e">
        <f t="shared" si="21"/>
        <v>#DIV/0!</v>
      </c>
      <c r="AE11" s="27"/>
      <c r="AF11" s="37"/>
      <c r="AG11" s="28"/>
      <c r="AH11" s="1" t="s">
        <v>78</v>
      </c>
      <c r="AI11" s="35"/>
      <c r="AJ11" s="29">
        <f t="shared" ref="AJ11:AU11" si="22">$E$4*$E$19</f>
        <v>0</v>
      </c>
      <c r="AK11" s="29">
        <f t="shared" si="22"/>
        <v>0</v>
      </c>
      <c r="AL11" s="29">
        <f t="shared" si="22"/>
        <v>0</v>
      </c>
      <c r="AM11" s="29">
        <f t="shared" si="22"/>
        <v>0</v>
      </c>
      <c r="AN11" s="29">
        <f t="shared" si="22"/>
        <v>0</v>
      </c>
      <c r="AO11" s="29">
        <f t="shared" si="22"/>
        <v>0</v>
      </c>
      <c r="AP11" s="29">
        <f t="shared" si="22"/>
        <v>0</v>
      </c>
      <c r="AQ11" s="29">
        <f t="shared" si="22"/>
        <v>0</v>
      </c>
      <c r="AR11" s="29">
        <f t="shared" si="22"/>
        <v>0</v>
      </c>
      <c r="AS11" s="29">
        <f t="shared" si="22"/>
        <v>0</v>
      </c>
      <c r="AT11" s="29">
        <f t="shared" si="22"/>
        <v>0</v>
      </c>
      <c r="AU11" s="29">
        <f t="shared" si="22"/>
        <v>0</v>
      </c>
      <c r="AX11" s="28" t="s">
        <v>14</v>
      </c>
      <c r="AY11" s="28"/>
      <c r="AZ11" s="35" t="s">
        <v>79</v>
      </c>
      <c r="BA11" s="29" t="e">
        <f t="shared" ref="BA11:BE11" si="23">IF($E$3="纯租赁",BA$6*12/$E$10,($E$11/$E$28+BA$6)*12/$E$10)</f>
        <v>#DIV/0!</v>
      </c>
      <c r="BB11" s="29" t="e">
        <f t="shared" si="23"/>
        <v>#DIV/0!</v>
      </c>
      <c r="BC11" s="29" t="e">
        <f t="shared" si="23"/>
        <v>#DIV/0!</v>
      </c>
      <c r="BD11" s="29" t="e">
        <f t="shared" si="23"/>
        <v>#DIV/0!</v>
      </c>
      <c r="BE11" s="29" t="e">
        <f t="shared" si="23"/>
        <v>#DIV/0!</v>
      </c>
      <c r="BF11" s="29" t="e">
        <f>IF($E$3="纯租赁",$E$13*12/$E$10,($E$11/$E$28+$E$13)*12/$E$10)</f>
        <v>#DIV/0!</v>
      </c>
      <c r="BG11" s="29" t="e">
        <f t="shared" ref="BG11:BK11" si="24">IF($E$3="纯租赁",BG$6*12/$E$10,($E$11/$E$28+BG$6)*12/$E$10)</f>
        <v>#DIV/0!</v>
      </c>
      <c r="BH11" s="29" t="e">
        <f t="shared" si="24"/>
        <v>#DIV/0!</v>
      </c>
      <c r="BI11" s="29" t="e">
        <f t="shared" si="24"/>
        <v>#DIV/0!</v>
      </c>
      <c r="BJ11" s="29" t="e">
        <f t="shared" si="24"/>
        <v>#DIV/0!</v>
      </c>
      <c r="BK11" s="29" t="e">
        <f t="shared" si="24"/>
        <v>#DIV/0!</v>
      </c>
    </row>
    <row r="12" spans="1:63">
      <c r="A12" s="15"/>
      <c r="B12" s="16" t="s">
        <v>80</v>
      </c>
      <c r="C12" s="17" t="s">
        <v>81</v>
      </c>
      <c r="D12" s="17"/>
      <c r="E12" s="95"/>
      <c r="F12" s="97"/>
      <c r="G12" s="97"/>
      <c r="H12" s="97"/>
      <c r="I12" s="97"/>
      <c r="J12" s="97"/>
      <c r="K12" s="97"/>
      <c r="L12" s="97"/>
      <c r="M12" s="97"/>
      <c r="N12" s="97"/>
      <c r="Q12" s="90" t="s">
        <v>31</v>
      </c>
      <c r="R12" s="20" t="e">
        <f t="shared" ref="R12:W12" si="25">R27/$E$4</f>
        <v>#DIV/0!</v>
      </c>
      <c r="S12" s="20" t="e">
        <f t="shared" si="25"/>
        <v>#DIV/0!</v>
      </c>
      <c r="T12" s="20" t="e">
        <f t="shared" si="25"/>
        <v>#DIV/0!</v>
      </c>
      <c r="U12" s="20" t="e">
        <f t="shared" si="25"/>
        <v>#DIV/0!</v>
      </c>
      <c r="V12" s="20" t="e">
        <f t="shared" si="25"/>
        <v>#DIV/0!</v>
      </c>
      <c r="W12" s="20" t="e">
        <f t="shared" si="25"/>
        <v>#DIV/0!</v>
      </c>
      <c r="AE12" s="27"/>
      <c r="AF12" s="37"/>
      <c r="AG12" s="28"/>
      <c r="AH12" s="1" t="s">
        <v>82</v>
      </c>
      <c r="AI12" s="35"/>
      <c r="AJ12" s="29">
        <f t="shared" ref="AJ12:AU12" si="26">$E$4*$E$20</f>
        <v>0</v>
      </c>
      <c r="AK12" s="29">
        <f t="shared" si="26"/>
        <v>0</v>
      </c>
      <c r="AL12" s="29">
        <f t="shared" si="26"/>
        <v>0</v>
      </c>
      <c r="AM12" s="29">
        <f t="shared" si="26"/>
        <v>0</v>
      </c>
      <c r="AN12" s="29">
        <f t="shared" si="26"/>
        <v>0</v>
      </c>
      <c r="AO12" s="29">
        <f t="shared" si="26"/>
        <v>0</v>
      </c>
      <c r="AP12" s="29">
        <f t="shared" si="26"/>
        <v>0</v>
      </c>
      <c r="AQ12" s="29">
        <f t="shared" si="26"/>
        <v>0</v>
      </c>
      <c r="AR12" s="29">
        <f t="shared" si="26"/>
        <v>0</v>
      </c>
      <c r="AS12" s="29">
        <f t="shared" si="26"/>
        <v>0</v>
      </c>
      <c r="AT12" s="29">
        <f t="shared" si="26"/>
        <v>0</v>
      </c>
      <c r="AU12" s="29">
        <f t="shared" si="26"/>
        <v>0</v>
      </c>
      <c r="AX12" s="28"/>
      <c r="AY12" s="28"/>
      <c r="AZ12" s="35" t="s">
        <v>61</v>
      </c>
      <c r="BA12" s="29" t="e">
        <f t="shared" ref="BA12:BK12" si="27">$E$14*12/$E$10</f>
        <v>#DIV/0!</v>
      </c>
      <c r="BB12" s="29" t="e">
        <f t="shared" si="27"/>
        <v>#DIV/0!</v>
      </c>
      <c r="BC12" s="29" t="e">
        <f t="shared" si="27"/>
        <v>#DIV/0!</v>
      </c>
      <c r="BD12" s="29" t="e">
        <f t="shared" si="27"/>
        <v>#DIV/0!</v>
      </c>
      <c r="BE12" s="29" t="e">
        <f t="shared" si="27"/>
        <v>#DIV/0!</v>
      </c>
      <c r="BF12" s="29" t="e">
        <f t="shared" si="27"/>
        <v>#DIV/0!</v>
      </c>
      <c r="BG12" s="29" t="e">
        <f t="shared" si="27"/>
        <v>#DIV/0!</v>
      </c>
      <c r="BH12" s="29" t="e">
        <f t="shared" si="27"/>
        <v>#DIV/0!</v>
      </c>
      <c r="BI12" s="29" t="e">
        <f t="shared" si="27"/>
        <v>#DIV/0!</v>
      </c>
      <c r="BJ12" s="29" t="e">
        <f t="shared" si="27"/>
        <v>#DIV/0!</v>
      </c>
      <c r="BK12" s="29" t="e">
        <f t="shared" si="27"/>
        <v>#DIV/0!</v>
      </c>
    </row>
    <row r="13" spans="1:63">
      <c r="A13" s="15"/>
      <c r="B13" s="46" t="s">
        <v>62</v>
      </c>
      <c r="C13" s="17" t="s">
        <v>83</v>
      </c>
      <c r="D13" s="17"/>
      <c r="E13" s="94"/>
      <c r="F13" s="94"/>
      <c r="G13" s="94"/>
      <c r="H13" s="94"/>
      <c r="I13" s="94"/>
      <c r="J13" s="94"/>
      <c r="K13" s="94"/>
      <c r="L13" s="94"/>
      <c r="M13" s="94"/>
      <c r="N13" s="94"/>
      <c r="Q13" s="48" t="s">
        <v>84</v>
      </c>
      <c r="R13" s="49" t="e">
        <f t="shared" ref="R13:V13" si="28">SUM(R3:R12)</f>
        <v>#DIV/0!</v>
      </c>
      <c r="S13" s="49" t="e">
        <f t="shared" si="28"/>
        <v>#DIV/0!</v>
      </c>
      <c r="T13" s="49" t="e">
        <f t="shared" si="28"/>
        <v>#DIV/0!</v>
      </c>
      <c r="U13" s="49" t="e">
        <f t="shared" si="28"/>
        <v>#DIV/0!</v>
      </c>
      <c r="V13" s="49" t="e">
        <f t="shared" si="28"/>
        <v>#DIV/0!</v>
      </c>
      <c r="W13" s="49" t="e">
        <f>R13-S13-T13-U13-V13</f>
        <v>#DIV/0!</v>
      </c>
      <c r="AE13" s="27"/>
      <c r="AF13" s="37"/>
      <c r="AG13" s="22"/>
      <c r="AH13" s="50" t="s">
        <v>85</v>
      </c>
      <c r="AI13" s="23"/>
      <c r="AJ13" s="24">
        <f t="shared" ref="AJ13:AU13" si="29">$E$4*$E$21</f>
        <v>0</v>
      </c>
      <c r="AK13" s="24">
        <f t="shared" si="29"/>
        <v>0</v>
      </c>
      <c r="AL13" s="24">
        <f t="shared" si="29"/>
        <v>0</v>
      </c>
      <c r="AM13" s="24">
        <f t="shared" si="29"/>
        <v>0</v>
      </c>
      <c r="AN13" s="24">
        <f t="shared" si="29"/>
        <v>0</v>
      </c>
      <c r="AO13" s="24">
        <f t="shared" si="29"/>
        <v>0</v>
      </c>
      <c r="AP13" s="24">
        <f t="shared" si="29"/>
        <v>0</v>
      </c>
      <c r="AQ13" s="24">
        <f t="shared" si="29"/>
        <v>0</v>
      </c>
      <c r="AR13" s="24">
        <f t="shared" si="29"/>
        <v>0</v>
      </c>
      <c r="AS13" s="24">
        <f t="shared" si="29"/>
        <v>0</v>
      </c>
      <c r="AT13" s="24">
        <f t="shared" si="29"/>
        <v>0</v>
      </c>
      <c r="AU13" s="24">
        <f t="shared" si="29"/>
        <v>0</v>
      </c>
      <c r="AX13" s="28"/>
      <c r="AY13" s="28"/>
      <c r="AZ13" s="35" t="s">
        <v>64</v>
      </c>
      <c r="BA13" s="29" t="e">
        <f t="shared" ref="BA13:BK13" si="30">$E$15*12/$E$10</f>
        <v>#DIV/0!</v>
      </c>
      <c r="BB13" s="29" t="e">
        <f t="shared" si="30"/>
        <v>#DIV/0!</v>
      </c>
      <c r="BC13" s="29" t="e">
        <f t="shared" si="30"/>
        <v>#DIV/0!</v>
      </c>
      <c r="BD13" s="29" t="e">
        <f t="shared" si="30"/>
        <v>#DIV/0!</v>
      </c>
      <c r="BE13" s="29" t="e">
        <f t="shared" si="30"/>
        <v>#DIV/0!</v>
      </c>
      <c r="BF13" s="29" t="e">
        <f t="shared" si="30"/>
        <v>#DIV/0!</v>
      </c>
      <c r="BG13" s="29" t="e">
        <f t="shared" si="30"/>
        <v>#DIV/0!</v>
      </c>
      <c r="BH13" s="29" t="e">
        <f t="shared" si="30"/>
        <v>#DIV/0!</v>
      </c>
      <c r="BI13" s="29" t="e">
        <f t="shared" si="30"/>
        <v>#DIV/0!</v>
      </c>
      <c r="BJ13" s="29" t="e">
        <f t="shared" si="30"/>
        <v>#DIV/0!</v>
      </c>
      <c r="BK13" s="29" t="e">
        <f t="shared" si="30"/>
        <v>#DIV/0!</v>
      </c>
    </row>
    <row r="14" spans="1:63">
      <c r="A14" s="15"/>
      <c r="B14" s="16" t="s">
        <v>86</v>
      </c>
      <c r="C14" s="17" t="s">
        <v>87</v>
      </c>
      <c r="D14" s="17"/>
      <c r="E14" s="95">
        <f>IF(E4&lt;30,2000,IF(E4&lt;50,1500,IF(E4&lt;100,1200,IF(E4&lt;200,1000,800))))</f>
        <v>2000</v>
      </c>
      <c r="F14" s="97"/>
      <c r="G14" s="97"/>
      <c r="H14" s="97"/>
      <c r="I14" s="97"/>
      <c r="J14" s="97"/>
      <c r="K14" s="97"/>
      <c r="L14" s="97"/>
      <c r="M14" s="97"/>
      <c r="N14" s="9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0</v>
      </c>
      <c r="AK14" s="29" cm="1">
        <f t="array" ref="AK14">IF(AK2&lt;=$E$10,$E$4*SUMPRODUCT($E$9:$N$9,$E$22:$N$22),0)</f>
        <v>0</v>
      </c>
      <c r="AL14" s="29" cm="1">
        <f t="array" ref="AL14">IF(AL2&lt;=$E$10,$E$4*SUMPRODUCT($E$9:$N$9,$E$22:$N$22),0)</f>
        <v>0</v>
      </c>
      <c r="AM14" s="29" cm="1">
        <f t="array" ref="AM14">IF(AM2&lt;=$E$10,$E$4*SUMPRODUCT($E$9:$N$9,$E$22:$N$22),0)</f>
        <v>0</v>
      </c>
      <c r="AN14" s="29" cm="1">
        <f t="array" ref="AN14">IF(AN2&lt;=$E$10,$E$4*SUMPRODUCT($E$9:$N$9,$E$22:$N$22),0)</f>
        <v>0</v>
      </c>
      <c r="AO14" s="29" cm="1">
        <f t="array" ref="AO14">IF(AO2&lt;=$E$10,$E$4*SUMPRODUCT($E$9:$N$9,$E$22:$N$22),0)</f>
        <v>0</v>
      </c>
      <c r="AP14" s="29" cm="1">
        <f t="array" ref="AP14">IF(AP2&lt;=$E$10,$E$4*SUMPRODUCT($E$9:$N$9,$E$22:$N$22),0)</f>
        <v>0</v>
      </c>
      <c r="AQ14" s="29" cm="1">
        <f t="array" ref="AQ14">IF(AQ2&lt;=$E$10,$E$4*SUMPRODUCT($E$9:$N$9,$E$22:$N$22),0)</f>
        <v>0</v>
      </c>
      <c r="AR14" s="29" cm="1">
        <f t="array" ref="AR14">IF(AR2&lt;=$E$10,$E$4*SUMPRODUCT($E$9:$N$9,$E$22:$N$22),0)</f>
        <v>0</v>
      </c>
      <c r="AS14" s="29" cm="1">
        <f t="array" ref="AS14">IF(AS2&lt;=$E$10,$E$4*SUMPRODUCT($E$9:$N$9,$E$22:$N$22),0)</f>
        <v>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 t="e">
        <f t="shared" ref="BA14:BK14" si="31">$E$16*12/$E$10</f>
        <v>#DIV/0!</v>
      </c>
      <c r="BB14" s="29" t="e">
        <f t="shared" si="31"/>
        <v>#DIV/0!</v>
      </c>
      <c r="BC14" s="29" t="e">
        <f t="shared" si="31"/>
        <v>#DIV/0!</v>
      </c>
      <c r="BD14" s="29" t="e">
        <f t="shared" si="31"/>
        <v>#DIV/0!</v>
      </c>
      <c r="BE14" s="29" t="e">
        <f t="shared" si="31"/>
        <v>#DIV/0!</v>
      </c>
      <c r="BF14" s="29" t="e">
        <f t="shared" si="31"/>
        <v>#DIV/0!</v>
      </c>
      <c r="BG14" s="29" t="e">
        <f t="shared" si="31"/>
        <v>#DIV/0!</v>
      </c>
      <c r="BH14" s="29" t="e">
        <f t="shared" si="31"/>
        <v>#DIV/0!</v>
      </c>
      <c r="BI14" s="29" t="e">
        <f t="shared" si="31"/>
        <v>#DIV/0!</v>
      </c>
      <c r="BJ14" s="29" t="e">
        <f t="shared" si="31"/>
        <v>#DIV/0!</v>
      </c>
      <c r="BK14" s="29" t="e">
        <f t="shared" si="31"/>
        <v>#DIV/0!</v>
      </c>
    </row>
    <row r="15" spans="1:63">
      <c r="A15" s="15"/>
      <c r="B15" s="16" t="s">
        <v>89</v>
      </c>
      <c r="C15" s="17" t="s">
        <v>90</v>
      </c>
      <c r="D15" s="17"/>
      <c r="E15" s="95"/>
      <c r="F15" s="97"/>
      <c r="G15" s="97"/>
      <c r="H15" s="97"/>
      <c r="I15" s="97"/>
      <c r="J15" s="97"/>
      <c r="K15" s="97"/>
      <c r="L15" s="97"/>
      <c r="M15" s="97"/>
      <c r="N15" s="9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0</v>
      </c>
      <c r="AK15" s="29" cm="1">
        <f t="array" ref="AK15">IF(AK2&lt;=$E$10,$E$4*SUMPRODUCT($E$23:$N$23,$E$9:$N$9),0)</f>
        <v>0</v>
      </c>
      <c r="AL15" s="29" cm="1">
        <f t="array" ref="AL15">IF(AL2&lt;=$E$10,$E$4*SUMPRODUCT($E$23:$N$23,$E$9:$N$9),0)</f>
        <v>0</v>
      </c>
      <c r="AM15" s="29" cm="1">
        <f t="array" ref="AM15">IF(AM2&lt;=$E$10,$E$4*SUMPRODUCT($E$23:$N$23,$E$9:$N$9),0)</f>
        <v>0</v>
      </c>
      <c r="AN15" s="29" cm="1">
        <f t="array" ref="AN15">IF(AN2&lt;=$E$10,$E$4*SUMPRODUCT($E$23:$N$23,$E$9:$N$9),0)</f>
        <v>0</v>
      </c>
      <c r="AO15" s="29" cm="1">
        <f t="array" ref="AO15">IF(AO2&lt;=$E$10,$E$4*SUMPRODUCT($E$23:$N$23,$E$9:$N$9),0)</f>
        <v>0</v>
      </c>
      <c r="AP15" s="29" cm="1">
        <f t="array" ref="AP15">IF(AP2&lt;=$E$10,$E$4*SUMPRODUCT($E$23:$N$23,$E$9:$N$9),0)</f>
        <v>0</v>
      </c>
      <c r="AQ15" s="29" cm="1">
        <f t="array" ref="AQ15">IF(AQ2&lt;=$E$10,$E$4*SUMPRODUCT($E$23:$N$23,$E$9:$N$9),0)</f>
        <v>0</v>
      </c>
      <c r="AR15" s="29" cm="1">
        <f t="array" ref="AR15">IF(AR2&lt;=$E$10,$E$4*SUMPRODUCT($E$23:$N$23,$E$9:$N$9),0)</f>
        <v>0</v>
      </c>
      <c r="AS15" s="29" cm="1">
        <f t="array" ref="AS15">IF(AS2&lt;=$E$10,$E$4*SUMPRODUCT($E$23:$N$23,$E$9:$N$9),0)</f>
        <v>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 t="e">
        <f t="shared" ref="BA15:BK15" si="32">$E$17*12/$E$10</f>
        <v>#DIV/0!</v>
      </c>
      <c r="BB15" s="29" t="e">
        <f t="shared" si="32"/>
        <v>#DIV/0!</v>
      </c>
      <c r="BC15" s="29" t="e">
        <f t="shared" si="32"/>
        <v>#DIV/0!</v>
      </c>
      <c r="BD15" s="29" t="e">
        <f t="shared" si="32"/>
        <v>#DIV/0!</v>
      </c>
      <c r="BE15" s="29" t="e">
        <f t="shared" si="32"/>
        <v>#DIV/0!</v>
      </c>
      <c r="BF15" s="29" t="e">
        <f t="shared" si="32"/>
        <v>#DIV/0!</v>
      </c>
      <c r="BG15" s="29" t="e">
        <f t="shared" si="32"/>
        <v>#DIV/0!</v>
      </c>
      <c r="BH15" s="29" t="e">
        <f t="shared" si="32"/>
        <v>#DIV/0!</v>
      </c>
      <c r="BI15" s="29" t="e">
        <f t="shared" si="32"/>
        <v>#DIV/0!</v>
      </c>
      <c r="BJ15" s="29" t="e">
        <f t="shared" si="32"/>
        <v>#DIV/0!</v>
      </c>
      <c r="BK15" s="29" t="e">
        <f t="shared" si="32"/>
        <v>#DIV/0!</v>
      </c>
    </row>
    <row r="16" spans="1:63">
      <c r="A16" s="15"/>
      <c r="B16" s="16" t="s">
        <v>92</v>
      </c>
      <c r="C16" s="17" t="s">
        <v>93</v>
      </c>
      <c r="D16" s="17"/>
      <c r="E16" s="95"/>
      <c r="F16" s="97"/>
      <c r="G16" s="97"/>
      <c r="H16" s="97"/>
      <c r="I16" s="97"/>
      <c r="J16" s="97"/>
      <c r="K16" s="97"/>
      <c r="L16" s="97"/>
      <c r="M16" s="97"/>
      <c r="N16" s="9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 t="e">
        <f t="shared" ref="BA16:BK16" si="33">$E$18*12/$E$10</f>
        <v>#DIV/0!</v>
      </c>
      <c r="BB16" s="29" t="e">
        <f t="shared" si="33"/>
        <v>#DIV/0!</v>
      </c>
      <c r="BC16" s="29" t="e">
        <f t="shared" si="33"/>
        <v>#DIV/0!</v>
      </c>
      <c r="BD16" s="29" t="e">
        <f t="shared" si="33"/>
        <v>#DIV/0!</v>
      </c>
      <c r="BE16" s="29" t="e">
        <f t="shared" si="33"/>
        <v>#DIV/0!</v>
      </c>
      <c r="BF16" s="29" t="e">
        <f t="shared" si="33"/>
        <v>#DIV/0!</v>
      </c>
      <c r="BG16" s="29" t="e">
        <f t="shared" si="33"/>
        <v>#DIV/0!</v>
      </c>
      <c r="BH16" s="29" t="e">
        <f t="shared" si="33"/>
        <v>#DIV/0!</v>
      </c>
      <c r="BI16" s="29" t="e">
        <f t="shared" si="33"/>
        <v>#DIV/0!</v>
      </c>
      <c r="BJ16" s="29" t="e">
        <f t="shared" si="33"/>
        <v>#DIV/0!</v>
      </c>
      <c r="BK16" s="29" t="e">
        <f t="shared" si="33"/>
        <v>#DIV/0!</v>
      </c>
    </row>
    <row r="17" spans="1:63">
      <c r="A17" s="15"/>
      <c r="B17" s="16" t="s">
        <v>95</v>
      </c>
      <c r="C17" s="17" t="s">
        <v>96</v>
      </c>
      <c r="D17" s="17"/>
      <c r="E17" s="95">
        <f>4000/12</f>
        <v>333.333333333333</v>
      </c>
      <c r="F17" s="97"/>
      <c r="G17" s="97"/>
      <c r="H17" s="97"/>
      <c r="I17" s="97"/>
      <c r="J17" s="97"/>
      <c r="K17" s="97"/>
      <c r="L17" s="97"/>
      <c r="M17" s="97"/>
      <c r="N17" s="9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0</v>
      </c>
      <c r="AK17" s="29" cm="1">
        <f t="array" ref="AK17">IF(AK2&lt;=$E$10,$E$4*SUMPRODUCT($E$9:$N$9,$E$25:$N$25),0)</f>
        <v>0</v>
      </c>
      <c r="AL17" s="29" cm="1">
        <f t="array" ref="AL17">IF(AL2&lt;=$E$10,$E$4*SUMPRODUCT($E$9:$N$9,$E$25:$N$25),0)</f>
        <v>0</v>
      </c>
      <c r="AM17" s="29" cm="1">
        <f t="array" ref="AM17">IF(AM2&lt;=$E$10,$E$4*SUMPRODUCT($E$9:$N$9,$E$25:$N$25),0)</f>
        <v>0</v>
      </c>
      <c r="AN17" s="29" cm="1">
        <f t="array" ref="AN17">IF(AN2&lt;=$E$10,$E$4*SUMPRODUCT($E$9:$N$9,$E$25:$N$25),0)</f>
        <v>0</v>
      </c>
      <c r="AO17" s="29" cm="1">
        <f t="array" ref="AO17">IF(AO2&lt;=$E$10,$E$4*SUMPRODUCT($E$9:$N$9,$E$25:$N$25),0)</f>
        <v>0</v>
      </c>
      <c r="AP17" s="29" cm="1">
        <f t="array" ref="AP17">IF(AP2&lt;=$E$10,$E$4*SUMPRODUCT($E$9:$N$9,$E$25:$N$25),0)</f>
        <v>0</v>
      </c>
      <c r="AQ17" s="29" cm="1">
        <f t="array" ref="AQ17">IF(AQ2&lt;=$E$10,$E$4*SUMPRODUCT($E$9:$N$9,$E$25:$N$25),0)</f>
        <v>0</v>
      </c>
      <c r="AR17" s="29" cm="1">
        <f t="array" ref="AR17">IF(AR2&lt;=$E$10,$E$4*SUMPRODUCT($E$9:$N$9,$E$25:$N$25),0)</f>
        <v>0</v>
      </c>
      <c r="AS17" s="29" cm="1">
        <f t="array" ref="AS17">IF(AS2&lt;=$E$10,$E$4*SUMPRODUCT($E$9:$N$9,$E$25:$N$25),0)</f>
        <v>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 t="e">
        <f t="shared" ref="BA17:BK17" si="34">$E$19*12/$E$10</f>
        <v>#DIV/0!</v>
      </c>
      <c r="BB17" s="29" t="e">
        <f t="shared" si="34"/>
        <v>#DIV/0!</v>
      </c>
      <c r="BC17" s="29" t="e">
        <f t="shared" si="34"/>
        <v>#DIV/0!</v>
      </c>
      <c r="BD17" s="29" t="e">
        <f t="shared" si="34"/>
        <v>#DIV/0!</v>
      </c>
      <c r="BE17" s="29" t="e">
        <f t="shared" si="34"/>
        <v>#DIV/0!</v>
      </c>
      <c r="BF17" s="29" t="e">
        <f t="shared" si="34"/>
        <v>#DIV/0!</v>
      </c>
      <c r="BG17" s="29" t="e">
        <f t="shared" si="34"/>
        <v>#DIV/0!</v>
      </c>
      <c r="BH17" s="29" t="e">
        <f t="shared" si="34"/>
        <v>#DIV/0!</v>
      </c>
      <c r="BI17" s="29" t="e">
        <f t="shared" si="34"/>
        <v>#DIV/0!</v>
      </c>
      <c r="BJ17" s="29" t="e">
        <f t="shared" si="34"/>
        <v>#DIV/0!</v>
      </c>
      <c r="BK17" s="29" t="e">
        <f t="shared" si="34"/>
        <v>#DIV/0!</v>
      </c>
    </row>
    <row r="18" spans="1:63">
      <c r="A18" s="15"/>
      <c r="B18" s="16" t="s">
        <v>98</v>
      </c>
      <c r="C18" s="17" t="s">
        <v>99</v>
      </c>
      <c r="D18" s="17"/>
      <c r="E18" s="95"/>
      <c r="F18" s="97"/>
      <c r="G18" s="97"/>
      <c r="H18" s="97"/>
      <c r="I18" s="97"/>
      <c r="J18" s="97"/>
      <c r="K18" s="97"/>
      <c r="L18" s="97"/>
      <c r="M18" s="97"/>
      <c r="N18" s="97"/>
      <c r="Q18" s="90" t="s">
        <v>20</v>
      </c>
      <c r="R18" s="20">
        <f>$E$4*$E$7*$E$8*$E$9</f>
        <v>0</v>
      </c>
      <c r="S18" s="51" t="e">
        <f>SUM($S$41:$S$49)</f>
        <v>#DIV/0!</v>
      </c>
      <c r="T18" s="51" t="e">
        <f>SUM($S$50:$S$55)</f>
        <v>#DIV/0!</v>
      </c>
      <c r="U18" s="51" t="e">
        <f>SUM($S$56:$S$57)</f>
        <v>#DIV/0!</v>
      </c>
      <c r="V18" s="29" t="e">
        <f>MAX(0,S58-S59)</f>
        <v>#DIV/0!</v>
      </c>
      <c r="W18" s="51" t="e">
        <f t="shared" ref="W18:W28" si="35">R18-S18-T18-U18-V18</f>
        <v>#DIV/0!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0</v>
      </c>
      <c r="AK18" s="29" cm="1">
        <f t="array" ref="AK18">IF(AK2&lt;=$E$10,$E$4*$E$5*SUMPRODUCT(IF($E$8:$N$8,$E$32,$E$33),$E$6:$N$6,$E$9:$N$9),0)</f>
        <v>0</v>
      </c>
      <c r="AL18" s="29" cm="1">
        <f t="array" ref="AL18">IF(AL2&lt;=$E$10,$E$4*$E$5*SUMPRODUCT(IF($E$8:$N$8,$E$32,$E$33),$E$6:$N$6,$E$9:$N$9),0)</f>
        <v>0</v>
      </c>
      <c r="AM18" s="29" cm="1">
        <f t="array" ref="AM18">IF(AM2&lt;=$E$10,$E$4*$E$5*SUMPRODUCT(IF($E$8:$N$8,$E$32,$E$33),$E$6:$N$6,$E$9:$N$9),0)</f>
        <v>0</v>
      </c>
      <c r="AN18" s="29" cm="1">
        <f t="array" ref="AN18">IF(AN2&lt;=$E$10,$E$4*$E$5*SUMPRODUCT(IF($E$8:$N$8,$E$32,$E$33),$E$6:$N$6,$E$9:$N$9),0)</f>
        <v>0</v>
      </c>
      <c r="AO18" s="29" cm="1">
        <f t="array" ref="AO18">IF(AO2&lt;=$E$10,$E$4*$E$5*SUMPRODUCT(IF($E$8:$N$8,$E$32,$E$33),$E$6:$N$6,$E$9:$N$9),0)</f>
        <v>0</v>
      </c>
      <c r="AP18" s="29" cm="1">
        <f t="array" ref="AP18">IF(AP2&lt;=$E$10,$E$4*$E$5*SUMPRODUCT(IF($E$8:$N$8,$E$32,$E$33),$E$6:$N$6,$E$9:$N$9),0)</f>
        <v>0</v>
      </c>
      <c r="AQ18" s="29" cm="1">
        <f t="array" ref="AQ18">IF(AQ2&lt;=$E$10,$E$4*$E$5*SUMPRODUCT(IF($E$8:$N$8,$E$32,$E$33),$E$6:$N$6,$E$9:$N$9),0)</f>
        <v>0</v>
      </c>
      <c r="AR18" s="29" cm="1">
        <f t="array" ref="AR18">IF(AR2&lt;=$E$10,$E$4*$E$5*SUMPRODUCT(IF($E$8:$N$8,$E$32,$E$33),$E$6:$N$6,$E$9:$N$9),0)</f>
        <v>0</v>
      </c>
      <c r="AS18" s="29" cm="1">
        <f t="array" ref="AS18">IF(AS2&lt;=$E$10,$E$4*$E$5*SUMPRODUCT(IF($E$8:$N$8,$E$32,$E$33),$E$6:$N$6,$E$9:$N$9),0)</f>
        <v>0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 t="e">
        <f t="shared" ref="BA18:BK18" si="36">$E$20*12/$E$10</f>
        <v>#DIV/0!</v>
      </c>
      <c r="BB18" s="29" t="e">
        <f t="shared" si="36"/>
        <v>#DIV/0!</v>
      </c>
      <c r="BC18" s="29" t="e">
        <f t="shared" si="36"/>
        <v>#DIV/0!</v>
      </c>
      <c r="BD18" s="29" t="e">
        <f t="shared" si="36"/>
        <v>#DIV/0!</v>
      </c>
      <c r="BE18" s="29" t="e">
        <f t="shared" si="36"/>
        <v>#DIV/0!</v>
      </c>
      <c r="BF18" s="29" t="e">
        <f t="shared" si="36"/>
        <v>#DIV/0!</v>
      </c>
      <c r="BG18" s="29" t="e">
        <f t="shared" si="36"/>
        <v>#DIV/0!</v>
      </c>
      <c r="BH18" s="29" t="e">
        <f t="shared" si="36"/>
        <v>#DIV/0!</v>
      </c>
      <c r="BI18" s="29" t="e">
        <f t="shared" si="36"/>
        <v>#DIV/0!</v>
      </c>
      <c r="BJ18" s="29" t="e">
        <f t="shared" si="36"/>
        <v>#DIV/0!</v>
      </c>
      <c r="BK18" s="29" t="e">
        <f t="shared" si="36"/>
        <v>#DIV/0!</v>
      </c>
    </row>
    <row r="19" spans="1:63">
      <c r="A19" s="15"/>
      <c r="B19" s="16" t="s">
        <v>101</v>
      </c>
      <c r="C19" s="17" t="s">
        <v>102</v>
      </c>
      <c r="D19" s="17"/>
      <c r="E19" s="95"/>
      <c r="F19" s="97"/>
      <c r="G19" s="97"/>
      <c r="H19" s="97"/>
      <c r="I19" s="97"/>
      <c r="J19" s="97"/>
      <c r="K19" s="97"/>
      <c r="L19" s="97"/>
      <c r="M19" s="97"/>
      <c r="N19" s="97"/>
      <c r="Q19" s="90" t="s">
        <v>22</v>
      </c>
      <c r="R19" s="20">
        <f>$E$4*$F$7*$F$8*$F$9</f>
        <v>0</v>
      </c>
      <c r="S19" s="51" t="e">
        <f>SUM($T$41:$T$49)</f>
        <v>#DIV/0!</v>
      </c>
      <c r="T19" s="51" t="e">
        <f>SUM($T$50:$T$55)</f>
        <v>#DIV/0!</v>
      </c>
      <c r="U19" s="51" t="e">
        <f>SUM($T$56:$T$57)</f>
        <v>#DIV/0!</v>
      </c>
      <c r="V19" s="29" t="e">
        <f>MAX(0,T58-T59)</f>
        <v>#DIV/0!</v>
      </c>
      <c r="W19" s="51" t="e">
        <f t="shared" si="35"/>
        <v>#DIV/0!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0</v>
      </c>
      <c r="AK19" s="24" cm="1">
        <f t="array" ref="AK19">IF(AK2&lt;=$E$10,SUMPRODUCT($E$6:$N$6,$E$9:$N$9)/$E$29*$E$30*$E$4*$E$31,0)</f>
        <v>0</v>
      </c>
      <c r="AL19" s="24" cm="1">
        <f t="array" ref="AL19">IF(AL2&lt;=$E$10,SUMPRODUCT($E$6:$N$6,$E$9:$N$9)/$E$29*$E$30*$E$4*$E$31,0)</f>
        <v>0</v>
      </c>
      <c r="AM19" s="24" cm="1">
        <f t="array" ref="AM19">IF(AM2&lt;=$E$10,SUMPRODUCT($E$6:$N$6,$E$9:$N$9)/$E$29*$E$30*$E$4*$E$31,0)</f>
        <v>0</v>
      </c>
      <c r="AN19" s="24" cm="1">
        <f t="array" ref="AN19">IF(AN2&lt;=$E$10,SUMPRODUCT($E$6:$N$6,$E$9:$N$9)/$E$29*$E$30*$E$4*$E$31,0)</f>
        <v>0</v>
      </c>
      <c r="AO19" s="24" cm="1">
        <f t="array" ref="AO19">IF(AO2&lt;=$E$10,SUMPRODUCT($E$6:$N$6,$E$9:$N$9)/$E$29*$E$30*$E$4*$E$31,0)</f>
        <v>0</v>
      </c>
      <c r="AP19" s="24" cm="1">
        <f t="array" ref="AP19">IF(AP2&lt;=$E$10,SUMPRODUCT($E$6:$N$6,$E$9:$N$9)/$E$29*$E$30*$E$4*$E$31,0)</f>
        <v>0</v>
      </c>
      <c r="AQ19" s="24" cm="1">
        <f t="array" ref="AQ19">IF(AQ2&lt;=$E$10,SUMPRODUCT($E$6:$N$6,$E$9:$N$9)/$E$29*$E$30*$E$4*$E$31,0)</f>
        <v>0</v>
      </c>
      <c r="AR19" s="24" cm="1">
        <f t="array" ref="AR19">IF(AR2&lt;=$E$10,SUMPRODUCT($E$6:$N$6,$E$9:$N$9)/$E$29*$E$30*$E$4*$E$31,0)</f>
        <v>0</v>
      </c>
      <c r="AS19" s="24" cm="1">
        <f t="array" ref="AS19">IF(AS2&lt;=$E$10,SUMPRODUCT($E$6:$N$6,$E$9:$N$9)/$E$29*$E$30*$E$4*$E$31,0)</f>
        <v>0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 t="e">
        <f t="shared" ref="BA19:BK19" si="37">$E$21*12/$E$10</f>
        <v>#DIV/0!</v>
      </c>
      <c r="BB19" s="24" t="e">
        <f t="shared" si="37"/>
        <v>#DIV/0!</v>
      </c>
      <c r="BC19" s="24" t="e">
        <f t="shared" si="37"/>
        <v>#DIV/0!</v>
      </c>
      <c r="BD19" s="24" t="e">
        <f t="shared" si="37"/>
        <v>#DIV/0!</v>
      </c>
      <c r="BE19" s="24" t="e">
        <f t="shared" si="37"/>
        <v>#DIV/0!</v>
      </c>
      <c r="BF19" s="24" t="e">
        <f t="shared" si="37"/>
        <v>#DIV/0!</v>
      </c>
      <c r="BG19" s="24" t="e">
        <f t="shared" si="37"/>
        <v>#DIV/0!</v>
      </c>
      <c r="BH19" s="24" t="e">
        <f t="shared" si="37"/>
        <v>#DIV/0!</v>
      </c>
      <c r="BI19" s="24" t="e">
        <f t="shared" si="37"/>
        <v>#DIV/0!</v>
      </c>
      <c r="BJ19" s="24" t="e">
        <f t="shared" si="37"/>
        <v>#DIV/0!</v>
      </c>
      <c r="BK19" s="24" t="e">
        <f t="shared" si="37"/>
        <v>#DIV/0!</v>
      </c>
    </row>
    <row r="20" spans="1:63">
      <c r="A20" s="15"/>
      <c r="B20" s="16" t="s">
        <v>104</v>
      </c>
      <c r="C20" s="17" t="s">
        <v>105</v>
      </c>
      <c r="D20" s="17"/>
      <c r="E20" s="95">
        <f>4000/12</f>
        <v>333.333333333333</v>
      </c>
      <c r="F20" s="95"/>
      <c r="G20" s="95"/>
      <c r="H20" s="95"/>
      <c r="I20" s="95"/>
      <c r="J20" s="95"/>
      <c r="K20" s="95"/>
      <c r="L20" s="95"/>
      <c r="M20" s="95"/>
      <c r="N20" s="95"/>
      <c r="Q20" s="90" t="s">
        <v>24</v>
      </c>
      <c r="R20" s="20">
        <f>$E$4*$G$7*$G$8*$G$9</f>
        <v>0</v>
      </c>
      <c r="S20" s="51" t="e">
        <f>SUM($U$41:$U$49)</f>
        <v>#DIV/0!</v>
      </c>
      <c r="T20" s="51" t="e">
        <f>SUM($U$50:$U$55)</f>
        <v>#DIV/0!</v>
      </c>
      <c r="U20" s="51" t="e">
        <f>SUM($U$56:$U$57)</f>
        <v>#DIV/0!</v>
      </c>
      <c r="V20" s="29" t="e">
        <f>MAX(0,U58-U59)</f>
        <v>#DIV/0!</v>
      </c>
      <c r="W20" s="51" t="e">
        <f t="shared" si="35"/>
        <v>#DIV/0!</v>
      </c>
      <c r="AE20" s="27"/>
      <c r="AF20" s="37"/>
      <c r="AG20" s="28" t="s">
        <v>16</v>
      </c>
      <c r="AH20" s="1" t="s">
        <v>106</v>
      </c>
      <c r="AI20" s="35"/>
      <c r="AJ20" s="29">
        <f t="shared" ref="AJ20:AU20" si="38">AJ3*$E$34/12*$E$26</f>
        <v>0</v>
      </c>
      <c r="AK20" s="29">
        <f t="shared" si="38"/>
        <v>0</v>
      </c>
      <c r="AL20" s="29">
        <f t="shared" si="38"/>
        <v>0</v>
      </c>
      <c r="AM20" s="29">
        <f t="shared" si="38"/>
        <v>0</v>
      </c>
      <c r="AN20" s="29">
        <f t="shared" si="38"/>
        <v>0</v>
      </c>
      <c r="AO20" s="29">
        <f t="shared" si="38"/>
        <v>0</v>
      </c>
      <c r="AP20" s="29">
        <f t="shared" si="38"/>
        <v>0</v>
      </c>
      <c r="AQ20" s="29">
        <f t="shared" si="38"/>
        <v>0</v>
      </c>
      <c r="AR20" s="29">
        <f t="shared" si="38"/>
        <v>0</v>
      </c>
      <c r="AS20" s="29">
        <f t="shared" si="38"/>
        <v>0</v>
      </c>
      <c r="AT20" s="29">
        <f t="shared" si="38"/>
        <v>0</v>
      </c>
      <c r="AU20" s="29">
        <f t="shared" si="38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0</v>
      </c>
      <c r="BB20" s="29" cm="1">
        <f t="array" ref="BB20">_xlfn.LET(_xlpm.n,IF($AX$5="✔",$AZ$5,0),SUMPRODUCT($E$9:$N$9+BB$2*_xlpm.n,$E$22:$N$22))</f>
        <v>0</v>
      </c>
      <c r="BC20" s="29" cm="1">
        <f t="array" ref="BC20">_xlfn.LET(_xlpm.n,IF($AX$5="✔",$AZ$5,0),SUMPRODUCT($E$9:$N$9+BC$2*_xlpm.n,$E$22:$N$22))</f>
        <v>0</v>
      </c>
      <c r="BD20" s="29" cm="1">
        <f t="array" ref="BD20">_xlfn.LET(_xlpm.n,IF($AX$5="✔",$AZ$5,0),SUMPRODUCT($E$9:$N$9+BD$2*_xlpm.n,$E$22:$N$22))</f>
        <v>0</v>
      </c>
      <c r="BE20" s="29" cm="1">
        <f t="array" ref="BE20">_xlfn.LET(_xlpm.n,IF($AX$5="✔",$AZ$5,0),SUMPRODUCT($E$9:$N$9+BE$2*_xlpm.n,$E$22:$N$22))</f>
        <v>0</v>
      </c>
      <c r="BF20" s="29" cm="1">
        <f t="array" ref="BF20">SUMPRODUCT($E$9:$N$9,$E$22:$N$22)</f>
        <v>0</v>
      </c>
      <c r="BG20" s="29" cm="1">
        <f t="array" ref="BG20">_xlfn.LET(_xlpm.n,IF($AX$5="✔",$AZ$5,0),SUMPRODUCT($E$9:$N$9+BG$2*_xlpm.n,$E$22:$N$22))</f>
        <v>0</v>
      </c>
      <c r="BH20" s="29" cm="1">
        <f t="array" ref="BH20">_xlfn.LET(_xlpm.n,IF($AX$5="✔",$AZ$5,0),SUMPRODUCT($E$9:$N$9+BH$2*_xlpm.n,$E$22:$N$22))</f>
        <v>0</v>
      </c>
      <c r="BI20" s="29" cm="1">
        <f t="array" ref="BI20">_xlfn.LET(_xlpm.n,IF($AX$5="✔",$AZ$5,0),SUMPRODUCT($E$9:$N$9+BI$2*_xlpm.n,$E$22:$N$22))</f>
        <v>0</v>
      </c>
      <c r="BJ20" s="29" cm="1">
        <f t="array" ref="BJ20">_xlfn.LET(_xlpm.n,IF($AX$5="✔",$AZ$5,0),SUMPRODUCT($E$9:$N$9+BJ$2*_xlpm.n,$E$22:$N$22))</f>
        <v>0</v>
      </c>
      <c r="BK20" s="29" cm="1">
        <f t="array" ref="BK20">_xlfn.LET(_xlpm.n,IF($AX$5="✔",$AZ$5,0),SUMPRODUCT($E$9:$N$9+BK$2*_xlpm.n,$E$22:$N$22))</f>
        <v>0</v>
      </c>
    </row>
    <row r="21" spans="1:63">
      <c r="A21" s="15"/>
      <c r="B21" s="16" t="s">
        <v>107</v>
      </c>
      <c r="C21" s="17" t="s">
        <v>108</v>
      </c>
      <c r="D21" s="17"/>
      <c r="E21" s="95">
        <v>200</v>
      </c>
      <c r="F21" s="95"/>
      <c r="G21" s="95"/>
      <c r="H21" s="95"/>
      <c r="I21" s="95"/>
      <c r="J21" s="95"/>
      <c r="K21" s="95"/>
      <c r="L21" s="95"/>
      <c r="M21" s="95"/>
      <c r="N21" s="95"/>
      <c r="Q21" s="90" t="s">
        <v>25</v>
      </c>
      <c r="R21" s="20">
        <f>$E$4*$H$7*$H$8*$H$9</f>
        <v>0</v>
      </c>
      <c r="S21" s="51" t="e">
        <f>SUM($V$41:$V$49)</f>
        <v>#DIV/0!</v>
      </c>
      <c r="T21" s="51" t="e">
        <f>SUM($V$50:$V$55)</f>
        <v>#DIV/0!</v>
      </c>
      <c r="U21" s="51" t="e">
        <f>SUM($V$56:$V$57)</f>
        <v>#DIV/0!</v>
      </c>
      <c r="V21" s="29" t="e">
        <f>MAX(0,V58-V59)</f>
        <v>#DIV/0!</v>
      </c>
      <c r="W21" s="51" t="e">
        <f t="shared" si="35"/>
        <v>#DIV/0!</v>
      </c>
      <c r="AE21" s="27"/>
      <c r="AF21" s="27"/>
      <c r="AG21" s="28"/>
      <c r="AH21" s="1" t="s">
        <v>109</v>
      </c>
      <c r="AI21" s="35"/>
      <c r="AJ21" s="29">
        <f t="shared" ref="AJ21:AU21" si="39">SUM(AJ5:AJ19)*$E$35/12*$E$27</f>
        <v>0</v>
      </c>
      <c r="AK21" s="29">
        <f t="shared" si="39"/>
        <v>0</v>
      </c>
      <c r="AL21" s="29">
        <f t="shared" si="39"/>
        <v>0</v>
      </c>
      <c r="AM21" s="29">
        <f t="shared" si="39"/>
        <v>0</v>
      </c>
      <c r="AN21" s="29">
        <f t="shared" si="39"/>
        <v>0</v>
      </c>
      <c r="AO21" s="29">
        <f t="shared" si="39"/>
        <v>0</v>
      </c>
      <c r="AP21" s="29">
        <f t="shared" si="39"/>
        <v>0</v>
      </c>
      <c r="AQ21" s="29">
        <f t="shared" si="39"/>
        <v>0</v>
      </c>
      <c r="AR21" s="29">
        <f t="shared" si="39"/>
        <v>0</v>
      </c>
      <c r="AS21" s="29">
        <f t="shared" si="39"/>
        <v>0</v>
      </c>
      <c r="AT21" s="29">
        <f t="shared" si="39"/>
        <v>0</v>
      </c>
      <c r="AU21" s="29">
        <f t="shared" si="39"/>
        <v>0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0</v>
      </c>
      <c r="BB21" s="29" cm="1">
        <f t="array" ref="BB21">_xlfn.LET(_xlpm.n,IF($AX$5="✔",$AZ$5,0),SUMPRODUCT($E$9:$N$9+BB$2*_xlpm.n,$E$23:$N$23))</f>
        <v>0</v>
      </c>
      <c r="BC21" s="29" cm="1">
        <f t="array" ref="BC21">_xlfn.LET(_xlpm.n,IF($AX$5="✔",$AZ$5,0),SUMPRODUCT($E$9:$N$9+BC$2*_xlpm.n,$E$23:$N$23))</f>
        <v>0</v>
      </c>
      <c r="BD21" s="29" cm="1">
        <f t="array" ref="BD21">_xlfn.LET(_xlpm.n,IF($AX$5="✔",$AZ$5,0),SUMPRODUCT($E$9:$N$9+BD$2*_xlpm.n,$E$23:$N$23))</f>
        <v>0</v>
      </c>
      <c r="BE21" s="29" cm="1">
        <f t="array" ref="BE21">_xlfn.LET(_xlpm.n,IF($AX$5="✔",$AZ$5,0),SUMPRODUCT($E$9:$N$9+BE$2*_xlpm.n,$E$23:$N$23))</f>
        <v>0</v>
      </c>
      <c r="BF21" s="29" cm="1">
        <f t="array" ref="BF21">SUMPRODUCT($E$9:$N$9,$E$23:$N$23)</f>
        <v>0</v>
      </c>
      <c r="BG21" s="29" cm="1">
        <f t="array" ref="BG21">_xlfn.LET(_xlpm.n,IF($AX$5="✔",$AZ$5,0),SUMPRODUCT($E$9:$N$9+BG$2*_xlpm.n,$E$23:$N$23))</f>
        <v>0</v>
      </c>
      <c r="BH21" s="29" cm="1">
        <f t="array" ref="BH21">_xlfn.LET(_xlpm.n,IF($AX$5="✔",$AZ$5,0),SUMPRODUCT($E$9:$N$9+BH$2*_xlpm.n,$E$23:$N$23))</f>
        <v>0</v>
      </c>
      <c r="BI21" s="29" cm="1">
        <f t="array" ref="BI21">_xlfn.LET(_xlpm.n,IF($AX$5="✔",$AZ$5,0),SUMPRODUCT($E$9:$N$9+BI$2*_xlpm.n,$E$23:$N$23))</f>
        <v>0</v>
      </c>
      <c r="BJ21" s="29" cm="1">
        <f t="array" ref="BJ21">_xlfn.LET(_xlpm.n,IF($AX$5="✔",$AZ$5,0),SUMPRODUCT($E$9:$N$9+BJ$2*_xlpm.n,$E$23:$N$23))</f>
        <v>0</v>
      </c>
      <c r="BK21" s="29" cm="1">
        <f t="array" ref="BK21">_xlfn.LET(_xlpm.n,IF($AX$5="✔",$AZ$5,0),SUMPRODUCT($E$9:$N$9+BK$2*_xlpm.n,$E$23:$N$23))</f>
        <v>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95"/>
      <c r="F22" s="98"/>
      <c r="G22" s="98"/>
      <c r="H22" s="98"/>
      <c r="I22" s="98"/>
      <c r="J22" s="98"/>
      <c r="K22" s="98"/>
      <c r="L22" s="98"/>
      <c r="M22" s="98"/>
      <c r="N22" s="98"/>
      <c r="Q22" s="90" t="s">
        <v>26</v>
      </c>
      <c r="R22" s="20">
        <f>$E$4*$I$7*$I$8*$I$9</f>
        <v>0</v>
      </c>
      <c r="S22" s="51" t="e">
        <f>SUM($W$41:$W$49)</f>
        <v>#DIV/0!</v>
      </c>
      <c r="T22" s="51" t="e">
        <f>SUM($W$50:$W$55)</f>
        <v>#DIV/0!</v>
      </c>
      <c r="U22" s="51" t="e">
        <f>SUM($W$56:$W$57)</f>
        <v>#DIV/0!</v>
      </c>
      <c r="V22" s="29" t="e">
        <f>MAX(0,W58-W59)</f>
        <v>#DIV/0!</v>
      </c>
      <c r="W22" s="51" t="e">
        <f t="shared" si="35"/>
        <v>#DIV/0!</v>
      </c>
      <c r="AE22" s="27"/>
      <c r="AF22" s="37"/>
      <c r="AG22" s="53" t="s">
        <v>17</v>
      </c>
      <c r="AH22" s="54" t="s">
        <v>112</v>
      </c>
      <c r="AI22" s="55"/>
      <c r="AJ22" s="55">
        <f t="shared" ref="AJ22:AU22" si="40">AJ3*0.09/1.09</f>
        <v>0</v>
      </c>
      <c r="AK22" s="55">
        <f t="shared" si="40"/>
        <v>0</v>
      </c>
      <c r="AL22" s="55">
        <f t="shared" si="40"/>
        <v>0</v>
      </c>
      <c r="AM22" s="55">
        <f t="shared" si="40"/>
        <v>0</v>
      </c>
      <c r="AN22" s="55">
        <f t="shared" si="40"/>
        <v>0</v>
      </c>
      <c r="AO22" s="55">
        <f t="shared" si="40"/>
        <v>0</v>
      </c>
      <c r="AP22" s="55">
        <f t="shared" si="40"/>
        <v>0</v>
      </c>
      <c r="AQ22" s="55">
        <f t="shared" si="40"/>
        <v>0</v>
      </c>
      <c r="AR22" s="55">
        <f t="shared" si="40"/>
        <v>0</v>
      </c>
      <c r="AS22" s="55">
        <f t="shared" si="40"/>
        <v>0</v>
      </c>
      <c r="AT22" s="55">
        <f t="shared" si="40"/>
        <v>0</v>
      </c>
      <c r="AU22" s="55">
        <f t="shared" si="40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95"/>
      <c r="F23" s="98"/>
      <c r="G23" s="98"/>
      <c r="H23" s="98"/>
      <c r="I23" s="98"/>
      <c r="J23" s="98"/>
      <c r="K23" s="98"/>
      <c r="L23" s="98"/>
      <c r="M23" s="98"/>
      <c r="N23" s="98"/>
      <c r="Q23" s="90" t="s">
        <v>27</v>
      </c>
      <c r="R23" s="20">
        <f>$E$4*$J$7*$J$8*$J$9</f>
        <v>0</v>
      </c>
      <c r="S23" s="51" t="e">
        <f>SUM($X$41:$X$49)</f>
        <v>#DIV/0!</v>
      </c>
      <c r="T23" s="51" t="e">
        <f>SUM($X$50:$X$55)</f>
        <v>#DIV/0!</v>
      </c>
      <c r="U23" s="51" t="e">
        <f>SUM($X$56:$X$57)</f>
        <v>#DIV/0!</v>
      </c>
      <c r="V23" s="29" t="e">
        <f>MAX(0,X58-X59)</f>
        <v>#DIV/0!</v>
      </c>
      <c r="W23" s="51" t="e">
        <f t="shared" si="35"/>
        <v>#DIV/0!</v>
      </c>
      <c r="AE23" s="27"/>
      <c r="AF23" s="27"/>
      <c r="AG23" s="28"/>
      <c r="AH23" s="56" t="s">
        <v>115</v>
      </c>
      <c r="AI23" s="57">
        <f>AI4*0.13/1.13</f>
        <v>0</v>
      </c>
      <c r="AJ23" s="57">
        <f t="shared" ref="AJ23:AU23" si="41">(AJ5+AJ18+AJ19)*0.13/1.13+AJ10*0.06/1.06</f>
        <v>0</v>
      </c>
      <c r="AK23" s="57">
        <f t="shared" si="41"/>
        <v>0</v>
      </c>
      <c r="AL23" s="57">
        <f t="shared" si="41"/>
        <v>0</v>
      </c>
      <c r="AM23" s="57">
        <f t="shared" si="41"/>
        <v>0</v>
      </c>
      <c r="AN23" s="57">
        <f t="shared" si="41"/>
        <v>0</v>
      </c>
      <c r="AO23" s="57">
        <f t="shared" si="41"/>
        <v>0</v>
      </c>
      <c r="AP23" s="57">
        <f t="shared" si="41"/>
        <v>0</v>
      </c>
      <c r="AQ23" s="57">
        <f t="shared" si="41"/>
        <v>0</v>
      </c>
      <c r="AR23" s="57">
        <f t="shared" si="41"/>
        <v>0</v>
      </c>
      <c r="AS23" s="57">
        <f t="shared" si="41"/>
        <v>0</v>
      </c>
      <c r="AT23" s="57">
        <f t="shared" si="41"/>
        <v>0</v>
      </c>
      <c r="AU23" s="57">
        <f t="shared" si="41"/>
        <v>0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0</v>
      </c>
      <c r="BB23" s="29" cm="1">
        <f t="array" ref="BB23">_xlfn.LET(_xlpm.n,IF($AX$5="✔",$AZ$5,0),SUMPRODUCT($E$9:$N$9+BB$2*_xlpm.n,$E$25:$N$25))</f>
        <v>0</v>
      </c>
      <c r="BC23" s="29" cm="1">
        <f t="array" ref="BC23">_xlfn.LET(_xlpm.n,IF($AX$5="✔",$AZ$5,0),SUMPRODUCT($E$9:$N$9+BC$2*_xlpm.n,$E$25:$N$25))</f>
        <v>0</v>
      </c>
      <c r="BD23" s="29" cm="1">
        <f t="array" ref="BD23">_xlfn.LET(_xlpm.n,IF($AX$5="✔",$AZ$5,0),SUMPRODUCT($E$9:$N$9+BD$2*_xlpm.n,$E$25:$N$25))</f>
        <v>0</v>
      </c>
      <c r="BE23" s="29" cm="1">
        <f t="array" ref="BE23">_xlfn.LET(_xlpm.n,IF($AX$5="✔",$AZ$5,0),SUMPRODUCT($E$9:$N$9+BE$2*_xlpm.n,$E$25:$N$25))</f>
        <v>0</v>
      </c>
      <c r="BF23" s="29" cm="1">
        <f t="array" ref="BF23">SUMPRODUCT($E$9:$N$9,$E$25:$N$25)</f>
        <v>0</v>
      </c>
      <c r="BG23" s="29" cm="1">
        <f t="array" ref="BG23">_xlfn.LET(_xlpm.n,IF($AX$5="✔",$AZ$5,0),SUMPRODUCT($E$9:$N$9+BG$2*_xlpm.n,$E$25:$N$25))</f>
        <v>0</v>
      </c>
      <c r="BH23" s="29" cm="1">
        <f t="array" ref="BH23">_xlfn.LET(_xlpm.n,IF($AX$5="✔",$AZ$5,0),SUMPRODUCT($E$9:$N$9+BH$2*_xlpm.n,$E$25:$N$25))</f>
        <v>0</v>
      </c>
      <c r="BI23" s="29" cm="1">
        <f t="array" ref="BI23">_xlfn.LET(_xlpm.n,IF($AX$5="✔",$AZ$5,0),SUMPRODUCT($E$9:$N$9+BI$2*_xlpm.n,$E$25:$N$25))</f>
        <v>0</v>
      </c>
      <c r="BJ23" s="29" cm="1">
        <f t="array" ref="BJ23">_xlfn.LET(_xlpm.n,IF($AX$5="✔",$AZ$5,0),SUMPRODUCT($E$9:$N$9+BJ$2*_xlpm.n,$E$25:$N$25))</f>
        <v>0</v>
      </c>
      <c r="BK23" s="29" cm="1">
        <f t="array" ref="BK23">_xlfn.LET(_xlpm.n,IF($AX$5="✔",$AZ$5,0),SUMPRODUCT($E$9:$N$9+BK$2*_xlpm.n,$E$25:$N$25))</f>
        <v>0</v>
      </c>
    </row>
    <row r="24" spans="1:63">
      <c r="A24" s="15"/>
      <c r="B24" s="16" t="s">
        <v>116</v>
      </c>
      <c r="C24" s="17" t="s">
        <v>117</v>
      </c>
      <c r="D24" s="17"/>
      <c r="E24" s="95"/>
      <c r="F24" s="98"/>
      <c r="G24" s="98"/>
      <c r="H24" s="98"/>
      <c r="I24" s="98"/>
      <c r="J24" s="98"/>
      <c r="K24" s="98"/>
      <c r="L24" s="98"/>
      <c r="M24" s="98"/>
      <c r="N24" s="98"/>
      <c r="Q24" s="90" t="s">
        <v>28</v>
      </c>
      <c r="R24" s="20">
        <f>$E$4*$K$7*$K$8*$K$9</f>
        <v>0</v>
      </c>
      <c r="S24" s="51" t="e">
        <f>SUM($Y$41:$Y$49)</f>
        <v>#DIV/0!</v>
      </c>
      <c r="T24" s="51" t="e">
        <f>SUM($Y$50:$Y$55)</f>
        <v>#DIV/0!</v>
      </c>
      <c r="U24" s="51" t="e">
        <f>SUM($Y$56:$Y$57)</f>
        <v>#DIV/0!</v>
      </c>
      <c r="V24" s="29" t="e">
        <f>MAX(0,Y58-Y59)</f>
        <v>#DIV/0!</v>
      </c>
      <c r="W24" s="51" t="e">
        <f t="shared" si="35"/>
        <v>#DIV/0!</v>
      </c>
      <c r="AE24" s="27"/>
      <c r="AF24" s="27"/>
      <c r="AG24" s="22"/>
      <c r="AH24" s="50" t="s">
        <v>118</v>
      </c>
      <c r="AI24" s="24">
        <f t="shared" ref="AI24:AU24" si="42">AI22-AI23</f>
        <v>0</v>
      </c>
      <c r="AJ24" s="24">
        <f t="shared" si="42"/>
        <v>0</v>
      </c>
      <c r="AK24" s="24">
        <f t="shared" si="42"/>
        <v>0</v>
      </c>
      <c r="AL24" s="24">
        <f t="shared" si="42"/>
        <v>0</v>
      </c>
      <c r="AM24" s="24">
        <f t="shared" si="42"/>
        <v>0</v>
      </c>
      <c r="AN24" s="24">
        <f t="shared" si="42"/>
        <v>0</v>
      </c>
      <c r="AO24" s="24">
        <f t="shared" si="42"/>
        <v>0</v>
      </c>
      <c r="AP24" s="24">
        <f t="shared" si="42"/>
        <v>0</v>
      </c>
      <c r="AQ24" s="24">
        <f t="shared" si="42"/>
        <v>0</v>
      </c>
      <c r="AR24" s="24">
        <f t="shared" si="42"/>
        <v>0</v>
      </c>
      <c r="AS24" s="24">
        <f t="shared" si="42"/>
        <v>0</v>
      </c>
      <c r="AT24" s="24">
        <f t="shared" si="42"/>
        <v>0</v>
      </c>
      <c r="AU24" s="24">
        <f t="shared" si="42"/>
        <v>0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0</v>
      </c>
      <c r="BB24" s="29" cm="1">
        <f t="array" ref="BB24">_xlfn.LET(_xlpm.n,IF($AX$5="✔",$AZ$5,0),BB$3*SUMPRODUCT(IF($E$8:$N$8,BB$7,$E$33),$E$6:$N$6,$E$9:$N$9+BB$2*_xlpm.n))</f>
        <v>0</v>
      </c>
      <c r="BC24" s="29" cm="1">
        <f t="array" ref="BC24">_xlfn.LET(_xlpm.n,IF($AX$5="✔",$AZ$5,0),BC$3*SUMPRODUCT(IF($E$8:$N$8,BC$7,$E$33),$E$6:$N$6,$E$9:$N$9+BC$2*_xlpm.n))</f>
        <v>0</v>
      </c>
      <c r="BD24" s="29" cm="1">
        <f t="array" ref="BD24">_xlfn.LET(_xlpm.n,IF($AX$5="✔",$AZ$5,0),BD$3*SUMPRODUCT(IF($E$8:$N$8,BD$7,$E$33),$E$6:$N$6,$E$9:$N$9+BD$2*_xlpm.n))</f>
        <v>0</v>
      </c>
      <c r="BE24" s="29" cm="1">
        <f t="array" ref="BE24">_xlfn.LET(_xlpm.n,IF($AX$5="✔",$AZ$5,0),BE$3*SUMPRODUCT(IF($E$8:$N$8,BE$7,$E$33),$E$6:$N$6,$E$9:$N$9+BE$2*_xlpm.n))</f>
        <v>0</v>
      </c>
      <c r="BF24" s="29" cm="1">
        <f t="array" ref="BF24">$E$5*SUMPRODUCT(IF($E$8:$N$8,$E$32,$E$33),$E$6:$N$6,$E$9:$N$9)</f>
        <v>0</v>
      </c>
      <c r="BG24" s="29" cm="1">
        <f t="array" ref="BG24">_xlfn.LET(_xlpm.n,IF($AX$5="✔",$AZ$5,0),BG$3*SUMPRODUCT(IF($E$8:$N$8,BG$7,$E$33),$E$6:$N$6,$E$9:$N$9+BG$2*_xlpm.n))</f>
        <v>0</v>
      </c>
      <c r="BH24" s="29" cm="1">
        <f t="array" ref="BH24">_xlfn.LET(_xlpm.n,IF($AX$5="✔",$AZ$5,0),BH$3*SUMPRODUCT(IF($E$8:$N$8,BH$7,$E$33),$E$6:$N$6,$E$9:$N$9+BH$2*_xlpm.n))</f>
        <v>0</v>
      </c>
      <c r="BI24" s="29" cm="1">
        <f t="array" ref="BI24">_xlfn.LET(_xlpm.n,IF($AX$5="✔",$AZ$5,0),BI$3*SUMPRODUCT(IF($E$8:$N$8,BI$7,$E$33),$E$6:$N$6,$E$9:$N$9+BI$2*_xlpm.n))</f>
        <v>0</v>
      </c>
      <c r="BJ24" s="29" cm="1">
        <f t="array" ref="BJ24">_xlfn.LET(_xlpm.n,IF($AX$5="✔",$AZ$5,0),BJ$3*SUMPRODUCT(IF($E$8:$N$8,BJ$7,$E$33),$E$6:$N$6,$E$9:$N$9+BJ$2*_xlpm.n))</f>
        <v>0</v>
      </c>
      <c r="BK24" s="29" cm="1">
        <f t="array" ref="BK24">_xlfn.LET(_xlpm.n,IF($AX$5="✔",$AZ$5,0),BK$3*SUMPRODUCT(IF($E$8:$N$8,BK$7,$E$33),$E$6:$N$6,$E$9:$N$9+BK$2*_xlpm.n))</f>
        <v>0</v>
      </c>
    </row>
    <row r="25" ht="16.5" spans="1:63">
      <c r="A25" s="15"/>
      <c r="B25" s="16" t="s">
        <v>119</v>
      </c>
      <c r="C25" s="17" t="s">
        <v>120</v>
      </c>
      <c r="D25" s="17"/>
      <c r="E25" s="95"/>
      <c r="F25" s="98"/>
      <c r="G25" s="98"/>
      <c r="H25" s="98"/>
      <c r="I25" s="98"/>
      <c r="J25" s="98"/>
      <c r="K25" s="98"/>
      <c r="L25" s="98"/>
      <c r="M25" s="98"/>
      <c r="N25" s="98"/>
      <c r="Q25" s="90" t="s">
        <v>29</v>
      </c>
      <c r="R25" s="20">
        <f>$E$4*$L$7*$L$8*$L$9</f>
        <v>0</v>
      </c>
      <c r="S25" s="51" t="e">
        <f>SUM($Z$41:$Z$49)</f>
        <v>#DIV/0!</v>
      </c>
      <c r="T25" s="51" t="e">
        <f>SUM($Z$50:$Z$55)</f>
        <v>#DIV/0!</v>
      </c>
      <c r="U25" s="51" t="e">
        <f>SUM($Z$56:$Z$57)</f>
        <v>#DIV/0!</v>
      </c>
      <c r="V25" s="29" t="e">
        <f>MAX(0,Z58-Z59)</f>
        <v>#DIV/0!</v>
      </c>
      <c r="W25" s="51" t="e">
        <f t="shared" si="35"/>
        <v>#DIV/0!</v>
      </c>
      <c r="AE25" s="33"/>
      <c r="AF25" s="33"/>
      <c r="AG25" s="48" t="s">
        <v>121</v>
      </c>
      <c r="AH25" s="48"/>
      <c r="AI25" s="58">
        <f>-AI4+AI24</f>
        <v>0</v>
      </c>
      <c r="AJ25" s="58">
        <f t="shared" ref="AJ25:AU25" si="43">AJ3-SUM(AJ5:AJ21)-AJ24</f>
        <v>0</v>
      </c>
      <c r="AK25" s="58">
        <f t="shared" si="43"/>
        <v>0</v>
      </c>
      <c r="AL25" s="58">
        <f t="shared" si="43"/>
        <v>0</v>
      </c>
      <c r="AM25" s="58">
        <f t="shared" si="43"/>
        <v>0</v>
      </c>
      <c r="AN25" s="58">
        <f t="shared" si="43"/>
        <v>0</v>
      </c>
      <c r="AO25" s="58">
        <f t="shared" si="43"/>
        <v>0</v>
      </c>
      <c r="AP25" s="58">
        <f t="shared" si="43"/>
        <v>0</v>
      </c>
      <c r="AQ25" s="58">
        <f t="shared" si="43"/>
        <v>0</v>
      </c>
      <c r="AR25" s="58">
        <f t="shared" si="43"/>
        <v>0</v>
      </c>
      <c r="AS25" s="58">
        <f t="shared" si="43"/>
        <v>0</v>
      </c>
      <c r="AT25" s="58">
        <f t="shared" si="43"/>
        <v>0</v>
      </c>
      <c r="AU25" s="58">
        <f t="shared" si="43"/>
        <v>0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0</v>
      </c>
      <c r="BB25" s="24" cm="1">
        <f t="array" ref="BB25">_xlfn.LET(_xlpm.n,IF($AX$5="✔",$AZ$5,0),SUMPRODUCT($E$6:$N$6,$E$9:$N$9+BB$2*_xlpm.n)/$E$29*$E$30*$E$31)</f>
        <v>0</v>
      </c>
      <c r="BC25" s="24" cm="1">
        <f t="array" ref="BC25">_xlfn.LET(_xlpm.n,IF($AX$5="✔",$AZ$5,0),SUMPRODUCT($E$6:$N$6,$E$9:$N$9+BC$2*_xlpm.n)/$E$29*$E$30*$E$31)</f>
        <v>0</v>
      </c>
      <c r="BD25" s="24" cm="1">
        <f t="array" ref="BD25">_xlfn.LET(_xlpm.n,IF($AX$5="✔",$AZ$5,0),SUMPRODUCT($E$6:$N$6,$E$9:$N$9+BD$2*_xlpm.n)/$E$29*$E$30*$E$31)</f>
        <v>0</v>
      </c>
      <c r="BE25" s="24" cm="1">
        <f t="array" ref="BE25">_xlfn.LET(_xlpm.n,IF($AX$5="✔",$AZ$5,0),SUMPRODUCT($E$6:$N$6,$E$9:$N$9+BE$2*_xlpm.n)/$E$29*$E$30*$E$31)</f>
        <v>0</v>
      </c>
      <c r="BF25" s="24" cm="1">
        <f t="array" ref="BF25">SUMPRODUCT($E$6:$N$6,$E$9:$N$9)/$E$29*$E$30*$E$31</f>
        <v>0</v>
      </c>
      <c r="BG25" s="24" cm="1">
        <f t="array" ref="BG25">_xlfn.LET(_xlpm.n,IF($AX$5="✔",$AZ$5,0),SUMPRODUCT($E$6:$N$6,$E$9:$N$9+BG$2*_xlpm.n)/$E$29*$E$30*$E$31)</f>
        <v>0</v>
      </c>
      <c r="BH25" s="24" cm="1">
        <f t="array" ref="BH25">_xlfn.LET(_xlpm.n,IF($AX$5="✔",$AZ$5,0),SUMPRODUCT($E$6:$N$6,$E$9:$N$9+BH$2*_xlpm.n)/$E$29*$E$30*$E$31)</f>
        <v>0</v>
      </c>
      <c r="BI25" s="24" cm="1">
        <f t="array" ref="BI25">_xlfn.LET(_xlpm.n,IF($AX$5="✔",$AZ$5,0),SUMPRODUCT($E$6:$N$6,$E$9:$N$9+BI$2*_xlpm.n)/$E$29*$E$30*$E$31)</f>
        <v>0</v>
      </c>
      <c r="BJ25" s="24" cm="1">
        <f t="array" ref="BJ25">_xlfn.LET(_xlpm.n,IF($AX$5="✔",$AZ$5,0),SUMPRODUCT($E$6:$N$6,$E$9:$N$9+BJ$2*_xlpm.n)/$E$29*$E$30*$E$31)</f>
        <v>0</v>
      </c>
      <c r="BK25" s="24" cm="1">
        <f t="array" ref="BK25">_xlfn.LET(_xlpm.n,IF($AX$5="✔",$AZ$5,0),SUMPRODUCT($E$6:$N$6,$E$9:$N$9+BK$2*_xlpm.n)/$E$29*$E$30*$E$31)</f>
        <v>0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89"/>
      <c r="F26" s="89"/>
      <c r="G26" s="89"/>
      <c r="H26" s="89"/>
      <c r="I26" s="89"/>
      <c r="J26" s="89"/>
      <c r="K26" s="89"/>
      <c r="L26" s="89"/>
      <c r="M26" s="89"/>
      <c r="N26" s="89"/>
      <c r="Q26" s="90" t="s">
        <v>30</v>
      </c>
      <c r="R26" s="20">
        <f>$E$4*$M$7*$M$8*$M$9</f>
        <v>0</v>
      </c>
      <c r="S26" s="51" t="e">
        <f>SUM($Z$41:$Z$49)</f>
        <v>#DIV/0!</v>
      </c>
      <c r="T26" s="51" t="e">
        <f>SUM($AA$50:$AA$55)</f>
        <v>#DIV/0!</v>
      </c>
      <c r="U26" s="51" t="e">
        <f>SUM($AA$56:$AA$57)</f>
        <v>#DIV/0!</v>
      </c>
      <c r="V26" s="29" t="e">
        <f>MAX(0,AA58-AA59)</f>
        <v>#DIV/0!</v>
      </c>
      <c r="W26" s="51" t="e">
        <f t="shared" si="35"/>
        <v>#DIV/0!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0</v>
      </c>
      <c r="AK26" s="58">
        <f>SUM($AI$25:AK25)</f>
        <v>0</v>
      </c>
      <c r="AL26" s="58">
        <f>SUM($AI$25:AL25)</f>
        <v>0</v>
      </c>
      <c r="AM26" s="58">
        <f>SUM($AI$25:AM25)</f>
        <v>0</v>
      </c>
      <c r="AN26" s="58">
        <f>SUM($AI$25:AN25)</f>
        <v>0</v>
      </c>
      <c r="AO26" s="58">
        <f>SUM($AI$25:AO25)</f>
        <v>0</v>
      </c>
      <c r="AP26" s="58">
        <f>SUM($AI$25:AP25)</f>
        <v>0</v>
      </c>
      <c r="AQ26" s="58">
        <f>SUM($AI$25:AQ25)</f>
        <v>0</v>
      </c>
      <c r="AR26" s="58">
        <f>SUM($AI$25:AR25)</f>
        <v>0</v>
      </c>
      <c r="AS26" s="58">
        <f>SUM($AI$25:AS25)</f>
        <v>0</v>
      </c>
      <c r="AT26" s="58">
        <f>SUM($AI$25:AT25)</f>
        <v>0</v>
      </c>
      <c r="AU26" s="58">
        <f>SUM($AI$25:AU25)</f>
        <v>0</v>
      </c>
      <c r="AX26" s="28" t="s">
        <v>16</v>
      </c>
      <c r="AY26" s="28"/>
      <c r="AZ26" s="35" t="s">
        <v>106</v>
      </c>
      <c r="BA26" s="29">
        <f t="shared" ref="BA26:BK26" si="44">BA9*$E$34/12*$E$26</f>
        <v>0</v>
      </c>
      <c r="BB26" s="29">
        <f t="shared" si="44"/>
        <v>0</v>
      </c>
      <c r="BC26" s="29">
        <f t="shared" si="44"/>
        <v>0</v>
      </c>
      <c r="BD26" s="29">
        <f t="shared" si="44"/>
        <v>0</v>
      </c>
      <c r="BE26" s="29">
        <f t="shared" si="44"/>
        <v>0</v>
      </c>
      <c r="BF26" s="29">
        <f t="shared" si="44"/>
        <v>0</v>
      </c>
      <c r="BG26" s="29">
        <f t="shared" si="44"/>
        <v>0</v>
      </c>
      <c r="BH26" s="29">
        <f t="shared" si="44"/>
        <v>0</v>
      </c>
      <c r="BI26" s="29">
        <f t="shared" si="44"/>
        <v>0</v>
      </c>
      <c r="BJ26" s="29">
        <f t="shared" si="44"/>
        <v>0</v>
      </c>
      <c r="BK26" s="29">
        <f t="shared" si="44"/>
        <v>0</v>
      </c>
    </row>
    <row r="27" spans="1:63">
      <c r="A27" s="15"/>
      <c r="B27" s="16" t="s">
        <v>125</v>
      </c>
      <c r="C27" s="17" t="s">
        <v>126</v>
      </c>
      <c r="D27" s="17"/>
      <c r="E27" s="89">
        <v>1</v>
      </c>
      <c r="F27" s="89"/>
      <c r="G27" s="89"/>
      <c r="H27" s="89"/>
      <c r="I27" s="89"/>
      <c r="J27" s="89"/>
      <c r="K27" s="89"/>
      <c r="L27" s="89"/>
      <c r="M27" s="89"/>
      <c r="N27" s="89"/>
      <c r="Q27" s="90" t="s">
        <v>31</v>
      </c>
      <c r="R27" s="20">
        <f>$E$4*$N$7*$N$8*$N$9</f>
        <v>0</v>
      </c>
      <c r="S27" s="51" t="e">
        <f>SUM($AB$41:$AB$49)</f>
        <v>#DIV/0!</v>
      </c>
      <c r="T27" s="51" t="e">
        <f>SUM($AB$50:$AB$55)</f>
        <v>#DIV/0!</v>
      </c>
      <c r="U27" s="51" t="e">
        <f>SUM($AB$56:$AB$57)</f>
        <v>#DIV/0!</v>
      </c>
      <c r="V27" s="29" t="e">
        <f>MAX(0,AB58-AB59)</f>
        <v>#DIV/0!</v>
      </c>
      <c r="W27" s="51" t="e">
        <f t="shared" si="35"/>
        <v>#DIV/0!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 t="e">
        <f t="shared" ref="BA27:BE27" si="45">(BA$6*12/$E$10+SUM(BA12:BA25))*$E$35/12*$E$27</f>
        <v>#DIV/0!</v>
      </c>
      <c r="BB27" s="29" t="e">
        <f t="shared" si="45"/>
        <v>#DIV/0!</v>
      </c>
      <c r="BC27" s="29" t="e">
        <f t="shared" si="45"/>
        <v>#DIV/0!</v>
      </c>
      <c r="BD27" s="29" t="e">
        <f t="shared" si="45"/>
        <v>#DIV/0!</v>
      </c>
      <c r="BE27" s="29" t="e">
        <f t="shared" si="45"/>
        <v>#DIV/0!</v>
      </c>
      <c r="BF27" s="29" t="e">
        <f>($E$13*12/$E$10+SUM(BF12:BF25))*$E$35/12*$E$27</f>
        <v>#DIV/0!</v>
      </c>
      <c r="BG27" s="29" t="e">
        <f t="shared" ref="BG27:BK27" si="46">(BG$6*12/$E$10+SUM(BG12:BG25))*$E$35/12*$E$27</f>
        <v>#DIV/0!</v>
      </c>
      <c r="BH27" s="29" t="e">
        <f t="shared" si="46"/>
        <v>#DIV/0!</v>
      </c>
      <c r="BI27" s="29" t="e">
        <f t="shared" si="46"/>
        <v>#DIV/0!</v>
      </c>
      <c r="BJ27" s="29" t="e">
        <f t="shared" si="46"/>
        <v>#DIV/0!</v>
      </c>
      <c r="BK27" s="29" t="e">
        <f t="shared" si="46"/>
        <v>#DIV/0!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99">
        <v>60</v>
      </c>
      <c r="F28" s="99"/>
      <c r="G28" s="99"/>
      <c r="H28" s="99"/>
      <c r="I28" s="99"/>
      <c r="J28" s="99"/>
      <c r="K28" s="99"/>
      <c r="L28" s="99"/>
      <c r="M28" s="99"/>
      <c r="N28" s="99"/>
      <c r="Q28" s="48" t="s">
        <v>84</v>
      </c>
      <c r="R28" s="49">
        <f t="shared" ref="R28:V28" si="47">SUM(R18:R27)</f>
        <v>0</v>
      </c>
      <c r="S28" s="49" t="e">
        <f t="shared" si="47"/>
        <v>#DIV/0!</v>
      </c>
      <c r="T28" s="49" t="e">
        <f t="shared" si="47"/>
        <v>#DIV/0!</v>
      </c>
      <c r="U28" s="49" t="e">
        <f t="shared" si="47"/>
        <v>#DIV/0!</v>
      </c>
      <c r="V28" s="49" t="e">
        <f t="shared" si="47"/>
        <v>#DIV/0!</v>
      </c>
      <c r="W28" s="49" t="e">
        <f t="shared" si="35"/>
        <v>#DIV/0!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K28" si="48">BA9*0.09/1.09</f>
        <v>0</v>
      </c>
      <c r="BB28" s="55">
        <f t="shared" si="48"/>
        <v>0</v>
      </c>
      <c r="BC28" s="55">
        <f t="shared" si="48"/>
        <v>0</v>
      </c>
      <c r="BD28" s="55">
        <f t="shared" si="48"/>
        <v>0</v>
      </c>
      <c r="BE28" s="55">
        <f t="shared" si="48"/>
        <v>0</v>
      </c>
      <c r="BF28" s="55">
        <f t="shared" si="48"/>
        <v>0</v>
      </c>
      <c r="BG28" s="55">
        <f t="shared" si="48"/>
        <v>0</v>
      </c>
      <c r="BH28" s="55">
        <f t="shared" si="48"/>
        <v>0</v>
      </c>
      <c r="BI28" s="55">
        <f t="shared" si="48"/>
        <v>0</v>
      </c>
      <c r="BJ28" s="55">
        <f t="shared" si="48"/>
        <v>0</v>
      </c>
      <c r="BK28" s="55">
        <f t="shared" si="48"/>
        <v>0</v>
      </c>
    </row>
    <row r="29" spans="1:63">
      <c r="A29" s="60"/>
      <c r="B29" s="61" t="s">
        <v>131</v>
      </c>
      <c r="C29" s="62" t="s">
        <v>132</v>
      </c>
      <c r="D29" s="62"/>
      <c r="E29" s="99">
        <v>80000</v>
      </c>
      <c r="F29" s="99"/>
      <c r="G29" s="99"/>
      <c r="H29" s="99"/>
      <c r="I29" s="99"/>
      <c r="J29" s="99"/>
      <c r="K29" s="99"/>
      <c r="L29" s="99"/>
      <c r="M29" s="99"/>
      <c r="N29" s="99"/>
      <c r="Q29" s="1" t="s">
        <v>133</v>
      </c>
      <c r="R29" s="1"/>
      <c r="AX29" s="28"/>
      <c r="AY29" s="28"/>
      <c r="AZ29" s="66" t="s">
        <v>115</v>
      </c>
      <c r="BA29" s="57" t="e">
        <f t="shared" ref="BA29:BK29" si="49">(BA11+BA24+BA25)*0.13/1.13+BA16*0.06/1.06</f>
        <v>#DIV/0!</v>
      </c>
      <c r="BB29" s="57" t="e">
        <f t="shared" si="49"/>
        <v>#DIV/0!</v>
      </c>
      <c r="BC29" s="57" t="e">
        <f t="shared" si="49"/>
        <v>#DIV/0!</v>
      </c>
      <c r="BD29" s="57" t="e">
        <f t="shared" si="49"/>
        <v>#DIV/0!</v>
      </c>
      <c r="BE29" s="57" t="e">
        <f t="shared" si="49"/>
        <v>#DIV/0!</v>
      </c>
      <c r="BF29" s="57" t="e">
        <f t="shared" si="49"/>
        <v>#DIV/0!</v>
      </c>
      <c r="BG29" s="57" t="e">
        <f t="shared" si="49"/>
        <v>#DIV/0!</v>
      </c>
      <c r="BH29" s="57" t="e">
        <f t="shared" si="49"/>
        <v>#DIV/0!</v>
      </c>
      <c r="BI29" s="57" t="e">
        <f t="shared" si="49"/>
        <v>#DIV/0!</v>
      </c>
      <c r="BJ29" s="57" t="e">
        <f t="shared" si="49"/>
        <v>#DIV/0!</v>
      </c>
      <c r="BK29" s="57" t="e">
        <f t="shared" si="49"/>
        <v>#DIV/0!</v>
      </c>
    </row>
    <row r="30" spans="1:63">
      <c r="A30" s="60"/>
      <c r="B30" s="61" t="s">
        <v>134</v>
      </c>
      <c r="C30" s="62" t="s">
        <v>135</v>
      </c>
      <c r="D30" s="62"/>
      <c r="E30" s="99">
        <v>22</v>
      </c>
      <c r="F30" s="99"/>
      <c r="G30" s="99"/>
      <c r="H30" s="99"/>
      <c r="I30" s="99"/>
      <c r="J30" s="99"/>
      <c r="K30" s="99"/>
      <c r="L30" s="99"/>
      <c r="M30" s="99"/>
      <c r="N30" s="99"/>
      <c r="AE30" s="67"/>
      <c r="AF30" s="67"/>
      <c r="AX30" s="22"/>
      <c r="AY30" s="22"/>
      <c r="AZ30" s="23" t="s">
        <v>118</v>
      </c>
      <c r="BA30" s="24" t="e">
        <f t="shared" ref="BA30:BK30" si="50">MAX(0,BA28-BA29)</f>
        <v>#DIV/0!</v>
      </c>
      <c r="BB30" s="24" t="e">
        <f t="shared" si="50"/>
        <v>#DIV/0!</v>
      </c>
      <c r="BC30" s="24" t="e">
        <f t="shared" si="50"/>
        <v>#DIV/0!</v>
      </c>
      <c r="BD30" s="24" t="e">
        <f t="shared" si="50"/>
        <v>#DIV/0!</v>
      </c>
      <c r="BE30" s="24" t="e">
        <f t="shared" si="50"/>
        <v>#DIV/0!</v>
      </c>
      <c r="BF30" s="24" t="e">
        <f t="shared" si="50"/>
        <v>#DIV/0!</v>
      </c>
      <c r="BG30" s="24" t="e">
        <f t="shared" si="50"/>
        <v>#DIV/0!</v>
      </c>
      <c r="BH30" s="24" t="e">
        <f t="shared" si="50"/>
        <v>#DIV/0!</v>
      </c>
      <c r="BI30" s="24" t="e">
        <f t="shared" si="50"/>
        <v>#DIV/0!</v>
      </c>
      <c r="BJ30" s="24" t="e">
        <f t="shared" si="50"/>
        <v>#DIV/0!</v>
      </c>
      <c r="BK30" s="24" t="e">
        <f t="shared" si="50"/>
        <v>#DIV/0!</v>
      </c>
    </row>
    <row r="31" ht="16.5" spans="1:63">
      <c r="A31" s="60"/>
      <c r="B31" s="61" t="s">
        <v>136</v>
      </c>
      <c r="C31" s="62" t="s">
        <v>137</v>
      </c>
      <c r="D31" s="62"/>
      <c r="E31" s="99">
        <v>1100</v>
      </c>
      <c r="F31" s="99"/>
      <c r="G31" s="99"/>
      <c r="H31" s="99"/>
      <c r="I31" s="99"/>
      <c r="J31" s="99"/>
      <c r="K31" s="99"/>
      <c r="L31" s="99"/>
      <c r="M31" s="99"/>
      <c r="N31" s="99"/>
      <c r="AE31" s="29"/>
      <c r="AF31" s="29"/>
      <c r="AX31" s="44" t="s">
        <v>138</v>
      </c>
      <c r="AY31" s="44"/>
      <c r="AZ31" s="44"/>
      <c r="BA31" s="45" t="e">
        <f t="shared" ref="BA31:BK31" si="51">SUM(BA11:BA27)+MAX(0,BA28-BA29)</f>
        <v>#DIV/0!</v>
      </c>
      <c r="BB31" s="45" t="e">
        <f t="shared" si="51"/>
        <v>#DIV/0!</v>
      </c>
      <c r="BC31" s="45" t="e">
        <f t="shared" si="51"/>
        <v>#DIV/0!</v>
      </c>
      <c r="BD31" s="45" t="e">
        <f t="shared" si="51"/>
        <v>#DIV/0!</v>
      </c>
      <c r="BE31" s="45" t="e">
        <f t="shared" si="51"/>
        <v>#DIV/0!</v>
      </c>
      <c r="BF31" s="45" t="e">
        <f t="shared" si="51"/>
        <v>#DIV/0!</v>
      </c>
      <c r="BG31" s="45" t="e">
        <f t="shared" si="51"/>
        <v>#DIV/0!</v>
      </c>
      <c r="BH31" s="45" t="e">
        <f t="shared" si="51"/>
        <v>#DIV/0!</v>
      </c>
      <c r="BI31" s="45" t="e">
        <f t="shared" si="51"/>
        <v>#DIV/0!</v>
      </c>
      <c r="BJ31" s="45" t="e">
        <f t="shared" si="51"/>
        <v>#DIV/0!</v>
      </c>
      <c r="BK31" s="45" t="e">
        <f t="shared" si="51"/>
        <v>#DIV/0!</v>
      </c>
    </row>
    <row r="32" ht="16.5" spans="1:63">
      <c r="A32" s="60"/>
      <c r="B32" s="61" t="s">
        <v>65</v>
      </c>
      <c r="C32" s="62" t="s">
        <v>139</v>
      </c>
      <c r="D32" s="62"/>
      <c r="E32" s="99">
        <v>1.6</v>
      </c>
      <c r="F32" s="99"/>
      <c r="G32" s="99"/>
      <c r="H32" s="99"/>
      <c r="I32" s="99"/>
      <c r="J32" s="99"/>
      <c r="K32" s="99"/>
      <c r="L32" s="99"/>
      <c r="M32" s="99"/>
      <c r="N32" s="99"/>
      <c r="Q32" s="28"/>
      <c r="AE32" s="29"/>
      <c r="AF32" s="29"/>
      <c r="AX32" s="68" t="s">
        <v>140</v>
      </c>
      <c r="AY32" s="69"/>
      <c r="AZ32" s="69"/>
      <c r="BA32" s="70" t="e">
        <f t="shared" ref="BA32:BK32" si="52">BA9-BA31</f>
        <v>#DIV/0!</v>
      </c>
      <c r="BB32" s="70" t="e">
        <f t="shared" si="52"/>
        <v>#DIV/0!</v>
      </c>
      <c r="BC32" s="70" t="e">
        <f t="shared" si="52"/>
        <v>#DIV/0!</v>
      </c>
      <c r="BD32" s="70" t="e">
        <f t="shared" si="52"/>
        <v>#DIV/0!</v>
      </c>
      <c r="BE32" s="70" t="e">
        <f t="shared" si="52"/>
        <v>#DIV/0!</v>
      </c>
      <c r="BF32" s="70" t="e">
        <f t="shared" si="52"/>
        <v>#DIV/0!</v>
      </c>
      <c r="BG32" s="70" t="e">
        <f t="shared" si="52"/>
        <v>#DIV/0!</v>
      </c>
      <c r="BH32" s="70" t="e">
        <f t="shared" si="52"/>
        <v>#DIV/0!</v>
      </c>
      <c r="BI32" s="70" t="e">
        <f t="shared" si="52"/>
        <v>#DIV/0!</v>
      </c>
      <c r="BJ32" s="70" t="e">
        <f t="shared" si="52"/>
        <v>#DIV/0!</v>
      </c>
      <c r="BK32" s="70" t="e">
        <f t="shared" si="52"/>
        <v>#DIV/0!</v>
      </c>
    </row>
    <row r="33" spans="1:63">
      <c r="A33" s="60"/>
      <c r="B33" s="61" t="s">
        <v>141</v>
      </c>
      <c r="C33" s="62" t="s">
        <v>142</v>
      </c>
      <c r="D33" s="62"/>
      <c r="E33" s="99">
        <v>1.1</v>
      </c>
      <c r="F33" s="99"/>
      <c r="G33" s="99"/>
      <c r="H33" s="99"/>
      <c r="I33" s="99"/>
      <c r="J33" s="99"/>
      <c r="K33" s="99"/>
      <c r="L33" s="99"/>
      <c r="M33" s="99"/>
      <c r="N33" s="99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100">
        <v>0.04</v>
      </c>
      <c r="F34" s="100"/>
      <c r="G34" s="100"/>
      <c r="H34" s="100"/>
      <c r="I34" s="100"/>
      <c r="J34" s="100"/>
      <c r="K34" s="100"/>
      <c r="L34" s="100"/>
      <c r="M34" s="100"/>
      <c r="N34" s="100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101">
        <v>0.07</v>
      </c>
      <c r="F35" s="101"/>
      <c r="G35" s="101"/>
      <c r="H35" s="101"/>
      <c r="I35" s="101"/>
      <c r="J35" s="101"/>
      <c r="K35" s="101"/>
      <c r="L35" s="101"/>
      <c r="M35" s="101"/>
      <c r="N35" s="101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8" t="s">
        <v>20</v>
      </c>
      <c r="T38" s="88" t="s">
        <v>22</v>
      </c>
      <c r="U38" s="88" t="s">
        <v>24</v>
      </c>
      <c r="V38" s="88" t="s">
        <v>25</v>
      </c>
      <c r="W38" s="88" t="s">
        <v>26</v>
      </c>
      <c r="X38" s="88" t="s">
        <v>27</v>
      </c>
      <c r="Y38" s="88" t="s">
        <v>28</v>
      </c>
      <c r="Z38" s="88" t="s">
        <v>29</v>
      </c>
      <c r="AA38" s="88" t="s">
        <v>30</v>
      </c>
      <c r="AB38" s="8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53">$E$4*E$7*E$8*E$9</f>
        <v>0</v>
      </c>
      <c r="T39" s="20">
        <f t="shared" si="53"/>
        <v>0</v>
      </c>
      <c r="U39" s="20">
        <f t="shared" si="53"/>
        <v>0</v>
      </c>
      <c r="V39" s="20">
        <f t="shared" si="53"/>
        <v>0</v>
      </c>
      <c r="W39" s="20">
        <f t="shared" si="53"/>
        <v>0</v>
      </c>
      <c r="X39" s="20">
        <f t="shared" si="53"/>
        <v>0</v>
      </c>
      <c r="Y39" s="20">
        <f t="shared" si="53"/>
        <v>0</v>
      </c>
      <c r="Z39" s="20">
        <f t="shared" si="53"/>
        <v>0</v>
      </c>
      <c r="AA39" s="20">
        <f t="shared" si="53"/>
        <v>0</v>
      </c>
      <c r="AB39" s="20">
        <f t="shared" si="53"/>
        <v>0</v>
      </c>
      <c r="AC39" s="29" cm="1">
        <f t="array" ref="AC39">$E$4*(SUMPRODUCT($E$7:$N$7,$E$8:$N$8,$E$9:$N$9))</f>
        <v>0</v>
      </c>
      <c r="AD39" s="27" t="e">
        <f>AC39/$AC$40</f>
        <v>#DIV/0!</v>
      </c>
      <c r="AE39" s="29"/>
      <c r="AF39" s="73"/>
      <c r="AG39" s="22" t="s">
        <v>13</v>
      </c>
      <c r="AH39" s="23" t="s">
        <v>49</v>
      </c>
      <c r="AI39" s="23"/>
      <c r="AJ39" s="24" t="str" cm="1">
        <f t="array" ref="AJ39">IF($E$3="纯租赁",IF(AJ38*12&lt;=$E$12,$E$4*SUMPRODUCT($E$7:$N$7,$E$8:$N$8,$E$9:$N$9)*$E$10,""),IF(AJ38*12&lt;=$E$28,$E$4*SUMPRODUCT($E$7:$N$7,$E$8:$N$8,$E$9:$N$9)*$E$10,""))</f>
        <v/>
      </c>
      <c r="AK39" s="24" t="str" cm="1">
        <f t="array" ref="AK39">IF($E$3="纯租赁",IF(AK38*12&lt;=$E$12,$E$4*SUMPRODUCT($E$7:$N$7,$E$8:$N$8,$E$9:$N$9)*$E$10,""),IF(AK38*12&lt;=$E$28,$E$4*SUMPRODUCT($E$7:$N$7,$E$8:$N$8,$E$9:$N$9)*$E$10,""))</f>
        <v/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54">S39</f>
        <v>0</v>
      </c>
      <c r="T40" s="76">
        <f t="shared" si="54"/>
        <v>0</v>
      </c>
      <c r="U40" s="76">
        <f t="shared" si="54"/>
        <v>0</v>
      </c>
      <c r="V40" s="76">
        <f t="shared" si="54"/>
        <v>0</v>
      </c>
      <c r="W40" s="76">
        <f t="shared" si="54"/>
        <v>0</v>
      </c>
      <c r="X40" s="76">
        <f t="shared" si="54"/>
        <v>0</v>
      </c>
      <c r="Y40" s="76">
        <f t="shared" si="54"/>
        <v>0</v>
      </c>
      <c r="Z40" s="76">
        <f t="shared" si="54"/>
        <v>0</v>
      </c>
      <c r="AA40" s="76">
        <f t="shared" si="54"/>
        <v>0</v>
      </c>
      <c r="AB40" s="76">
        <f t="shared" si="54"/>
        <v>0</v>
      </c>
      <c r="AC40" s="77">
        <f t="shared" si="54"/>
        <v>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t="e" cm="1">
        <f t="array" ref="S41">$AC41*E$6*E$9/(SUMPRODUCT($E$6:$N$6,$E$9:$N$9))</f>
        <v>#DIV/0!</v>
      </c>
      <c r="T41" s="29" t="e" cm="1">
        <f t="array" ref="T41">$AC41*F$6*F$9/(SUMPRODUCT($E$6:$N$6,$E$9:$N$9))</f>
        <v>#DIV/0!</v>
      </c>
      <c r="U41" s="29" t="e" cm="1">
        <f t="array" ref="U41">$AC41*G$6*G$9/(SUMPRODUCT($E$6:$N$6,$E$9:$N$9))</f>
        <v>#DIV/0!</v>
      </c>
      <c r="V41" s="29" t="e" cm="1">
        <f t="array" ref="V41">$AC41*H$6*H$9/(SUMPRODUCT($E$6:$N$6,$E$9:$N$9))</f>
        <v>#DIV/0!</v>
      </c>
      <c r="W41" s="29" t="e" cm="1">
        <f t="array" ref="W41">$AC41*I$6*I$9/(SUMPRODUCT($E$6:$N$6,$E$9:$N$9))</f>
        <v>#DIV/0!</v>
      </c>
      <c r="X41" s="29" t="e" cm="1">
        <f t="array" ref="X41">$AC41*J$6*J$9/(SUMPRODUCT($E$6:$N$6,$E$9:$N$9))</f>
        <v>#DIV/0!</v>
      </c>
      <c r="Y41" s="29" t="e" cm="1">
        <f t="array" ref="Y41">$AC41*K$6*K$9/(SUMPRODUCT($E$6:$N$6,$E$9:$N$9))</f>
        <v>#DIV/0!</v>
      </c>
      <c r="Z41" s="29" t="e" cm="1">
        <f t="array" ref="Z41">$AC41*L$6*L$9/(SUMPRODUCT($E$6:$N$6,$E$9:$N$9))</f>
        <v>#DIV/0!</v>
      </c>
      <c r="AA41" s="29" t="e" cm="1">
        <f t="array" ref="AA41">$AC41*M$6*M$9/(SUMPRODUCT($E$6:$N$6,$E$9:$N$9))</f>
        <v>#DIV/0!</v>
      </c>
      <c r="AB41" s="29" t="e" cm="1">
        <f t="array" ref="AB41">$AC41*N$6*N$9/(SUMPRODUCT($E$6:$N$6,$E$9:$N$9))</f>
        <v>#DIV/0!</v>
      </c>
      <c r="AC41" s="29" t="e">
        <f>IF($E$3="纯租赁",$E$4*$E$13*12/$E$10,$E$4*($E$11/$E$28+$E$13)*12/$E$10)</f>
        <v>#DIV/0!</v>
      </c>
      <c r="AD41" s="27" t="e">
        <f t="shared" ref="AD41:AD57" si="55">AC41/$AC$61</f>
        <v>#DIV/0!</v>
      </c>
      <c r="AE41" s="29"/>
      <c r="AF41" s="73"/>
      <c r="AG41" s="28"/>
      <c r="AH41" s="1" t="s">
        <v>57</v>
      </c>
      <c r="AI41" s="35"/>
      <c r="AJ41" s="29" t="str">
        <f t="shared" ref="AJ41:AU41" si="56">IF($E$3="纯租赁",IF(AJ38*12&lt;=$E$12,$E$4*$E$13*12,""),IF(AJ38*12&lt;=$E$12,$E$4*$E$13*12,IF(AJ38*12&lt;=$E$28,MOD($E$12,12)*$E$13*$E$4,"")))</f>
        <v/>
      </c>
      <c r="AK41" s="29" t="str">
        <f t="shared" si="56"/>
        <v/>
      </c>
      <c r="AL41" s="29" t="str">
        <f t="shared" si="56"/>
        <v/>
      </c>
      <c r="AM41" s="29" t="str">
        <f t="shared" si="56"/>
        <v/>
      </c>
      <c r="AN41" s="29" t="str">
        <f t="shared" si="56"/>
        <v/>
      </c>
      <c r="AO41" s="29" t="str">
        <f t="shared" si="56"/>
        <v/>
      </c>
      <c r="AP41" s="29" t="str">
        <f t="shared" si="56"/>
        <v/>
      </c>
      <c r="AQ41" s="29" t="str">
        <f t="shared" si="56"/>
        <v/>
      </c>
      <c r="AR41" s="29" t="str">
        <f t="shared" si="56"/>
        <v/>
      </c>
      <c r="AS41" s="29" t="str">
        <f t="shared" si="56"/>
        <v/>
      </c>
      <c r="AT41" s="29" t="str">
        <f t="shared" si="56"/>
        <v/>
      </c>
      <c r="AU41" s="29" t="str">
        <f t="shared" si="56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t="e" cm="1">
        <f t="array" ref="S42">$AC42*E$6*E$9/(SUMPRODUCT($E$6:$N$6,$E$9:$N$9))</f>
        <v>#DIV/0!</v>
      </c>
      <c r="T42" s="29" t="e" cm="1">
        <f t="array" ref="T42">$AC42*F$6*F$9/(SUMPRODUCT($E$6:$N$6,$E$9:$N$9))</f>
        <v>#DIV/0!</v>
      </c>
      <c r="U42" s="29" t="e" cm="1">
        <f t="array" ref="U42">$AC42*G$6*G$9/(SUMPRODUCT($E$6:$N$6,$E$9:$N$9))</f>
        <v>#DIV/0!</v>
      </c>
      <c r="V42" s="29" t="e" cm="1">
        <f t="array" ref="V42">$AC42*H$6*H$9/(SUMPRODUCT($E$6:$N$6,$E$9:$N$9))</f>
        <v>#DIV/0!</v>
      </c>
      <c r="W42" s="29" t="e" cm="1">
        <f t="array" ref="W42">$AC42*I$6*I$9/(SUMPRODUCT($E$6:$N$6,$E$9:$N$9))</f>
        <v>#DIV/0!</v>
      </c>
      <c r="X42" s="29" t="e" cm="1">
        <f t="array" ref="X42">$AC42*J$6*J$9/(SUMPRODUCT($E$6:$N$6,$E$9:$N$9))</f>
        <v>#DIV/0!</v>
      </c>
      <c r="Y42" s="29" t="e" cm="1">
        <f t="array" ref="Y42">$AC42*K$6*K$9/(SUMPRODUCT($E$6:$N$6,$E$9:$N$9))</f>
        <v>#DIV/0!</v>
      </c>
      <c r="Z42" s="29" t="e" cm="1">
        <f t="array" ref="Z42">$AC42*L$6*L$9/(SUMPRODUCT($E$6:$N$6,$E$9:$N$9))</f>
        <v>#DIV/0!</v>
      </c>
      <c r="AA42" s="29" t="e" cm="1">
        <f t="array" ref="AA42">$AC42*M$6*M$9/(SUMPRODUCT($E$6:$N$6,$E$9:$N$9))</f>
        <v>#DIV/0!</v>
      </c>
      <c r="AB42" s="29" t="e" cm="1">
        <f t="array" ref="AB42">$AC42*N$6*N$9/(SUMPRODUCT($E$6:$N$6,$E$9:$N$9))</f>
        <v>#DIV/0!</v>
      </c>
      <c r="AC42" s="29" t="e">
        <f>$E$14*$E$4*12/$E$10</f>
        <v>#DIV/0!</v>
      </c>
      <c r="AD42" s="27" t="e">
        <f t="shared" si="55"/>
        <v>#DIV/0!</v>
      </c>
      <c r="AE42" s="29"/>
      <c r="AF42" s="73"/>
      <c r="AG42" s="28"/>
      <c r="AH42" s="1" t="s">
        <v>61</v>
      </c>
      <c r="AI42" s="35"/>
      <c r="AJ42" s="29" t="str">
        <f t="shared" ref="AJ42:AU42" si="57">IF($E$3="纯租赁",IF(AJ38*12&lt;=$E$12,$E$14*$E$4*12,""),IF(AJ38*12&lt;=$E$28,$E$14*$E$4*12,""))</f>
        <v/>
      </c>
      <c r="AK42" s="29" t="str">
        <f t="shared" si="57"/>
        <v/>
      </c>
      <c r="AL42" s="29" t="str">
        <f t="shared" si="57"/>
        <v/>
      </c>
      <c r="AM42" s="29" t="str">
        <f t="shared" si="57"/>
        <v/>
      </c>
      <c r="AN42" s="29" t="str">
        <f t="shared" si="57"/>
        <v/>
      </c>
      <c r="AO42" s="29" t="str">
        <f t="shared" si="57"/>
        <v/>
      </c>
      <c r="AP42" s="29" t="str">
        <f t="shared" si="57"/>
        <v/>
      </c>
      <c r="AQ42" s="29" t="str">
        <f t="shared" si="57"/>
        <v/>
      </c>
      <c r="AR42" s="29" t="str">
        <f t="shared" si="57"/>
        <v/>
      </c>
      <c r="AS42" s="29" t="str">
        <f t="shared" si="57"/>
        <v/>
      </c>
      <c r="AT42" s="29" t="str">
        <f t="shared" si="57"/>
        <v/>
      </c>
      <c r="AU42" s="29" t="str">
        <f t="shared" si="57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t="e" cm="1">
        <f t="array" ref="S43">$AC43*E$6*E$9/(SUMPRODUCT($E$6:$N$6,$E$9:$N$9))</f>
        <v>#DIV/0!</v>
      </c>
      <c r="T43" s="29" t="e" cm="1">
        <f t="array" ref="T43">$AC43*F$6*F$9/(SUMPRODUCT($E$6:$N$6,$E$9:$N$9))</f>
        <v>#DIV/0!</v>
      </c>
      <c r="U43" s="29" t="e" cm="1">
        <f t="array" ref="U43">$AC43*G$6*G$9/(SUMPRODUCT($E$6:$N$6,$E$9:$N$9))</f>
        <v>#DIV/0!</v>
      </c>
      <c r="V43" s="29" t="e" cm="1">
        <f t="array" ref="V43">$AC43*H$6*H$9/(SUMPRODUCT($E$6:$N$6,$E$9:$N$9))</f>
        <v>#DIV/0!</v>
      </c>
      <c r="W43" s="29" t="e" cm="1">
        <f t="array" ref="W43">$AC43*I$6*I$9/(SUMPRODUCT($E$6:$N$6,$E$9:$N$9))</f>
        <v>#DIV/0!</v>
      </c>
      <c r="X43" s="29" t="e" cm="1">
        <f t="array" ref="X43">$AC43*J$6*J$9/(SUMPRODUCT($E$6:$N$6,$E$9:$N$9))</f>
        <v>#DIV/0!</v>
      </c>
      <c r="Y43" s="29" t="e" cm="1">
        <f t="array" ref="Y43">$AC43*K$6*K$9/(SUMPRODUCT($E$6:$N$6,$E$9:$N$9))</f>
        <v>#DIV/0!</v>
      </c>
      <c r="Z43" s="29" t="e" cm="1">
        <f t="array" ref="Z43">$AC43*L$6*L$9/(SUMPRODUCT($E$6:$N$6,$E$9:$N$9))</f>
        <v>#DIV/0!</v>
      </c>
      <c r="AA43" s="29" t="e" cm="1">
        <f t="array" ref="AA43">$AC43*M$6*M$9/(SUMPRODUCT($E$6:$N$6,$E$9:$N$9))</f>
        <v>#DIV/0!</v>
      </c>
      <c r="AB43" s="29" t="e" cm="1">
        <f t="array" ref="AB43">$AC43*N$6*N$9/(SUMPRODUCT($E$6:$N$6,$E$9:$N$9))</f>
        <v>#DIV/0!</v>
      </c>
      <c r="AC43" s="29" t="e">
        <f>$E$4*$E$15*12/$E$10</f>
        <v>#DIV/0!</v>
      </c>
      <c r="AD43" s="27" t="e">
        <f t="shared" si="55"/>
        <v>#DIV/0!</v>
      </c>
      <c r="AE43" s="29"/>
      <c r="AF43" s="73"/>
      <c r="AG43" s="28"/>
      <c r="AH43" s="1" t="s">
        <v>64</v>
      </c>
      <c r="AI43" s="35"/>
      <c r="AJ43" s="29" t="str">
        <f t="shared" ref="AJ43:AU43" si="58">IF($E$3="纯租赁",IF(AJ38*12&lt;=$E$12,$E$4*$E$15*12,""),IF(AJ38*12&lt;=$E$28,$E$4*$E$15*12,""))</f>
        <v/>
      </c>
      <c r="AK43" s="29" t="str">
        <f t="shared" si="58"/>
        <v/>
      </c>
      <c r="AL43" s="29" t="str">
        <f t="shared" si="58"/>
        <v/>
      </c>
      <c r="AM43" s="29" t="str">
        <f t="shared" si="58"/>
        <v/>
      </c>
      <c r="AN43" s="29" t="str">
        <f t="shared" si="58"/>
        <v/>
      </c>
      <c r="AO43" s="29" t="str">
        <f t="shared" si="58"/>
        <v/>
      </c>
      <c r="AP43" s="29" t="str">
        <f t="shared" si="58"/>
        <v/>
      </c>
      <c r="AQ43" s="29" t="str">
        <f t="shared" si="58"/>
        <v/>
      </c>
      <c r="AR43" s="29" t="str">
        <f t="shared" si="58"/>
        <v/>
      </c>
      <c r="AS43" s="29" t="str">
        <f t="shared" si="58"/>
        <v/>
      </c>
      <c r="AT43" s="29" t="str">
        <f t="shared" si="58"/>
        <v/>
      </c>
      <c r="AU43" s="29" t="str">
        <f t="shared" si="58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t="e" cm="1">
        <f t="array" ref="S44">$AC44*E$6*E$9/(SUMPRODUCT($E$6:$N$6,$E$9:$N$9))</f>
        <v>#DIV/0!</v>
      </c>
      <c r="T44" s="29" t="e" cm="1">
        <f t="array" ref="T44">$AC44*F$6*F$9/(SUMPRODUCT($E$6:$N$6,$E$9:$N$9))</f>
        <v>#DIV/0!</v>
      </c>
      <c r="U44" s="29" t="e" cm="1">
        <f t="array" ref="U44">$AC44*G$6*G$9/(SUMPRODUCT($E$6:$N$6,$E$9:$N$9))</f>
        <v>#DIV/0!</v>
      </c>
      <c r="V44" s="29" t="e" cm="1">
        <f t="array" ref="V44">$AC44*H$6*H$9/(SUMPRODUCT($E$6:$N$6,$E$9:$N$9))</f>
        <v>#DIV/0!</v>
      </c>
      <c r="W44" s="29" t="e" cm="1">
        <f t="array" ref="W44">$AC44*I$6*I$9/(SUMPRODUCT($E$6:$N$6,$E$9:$N$9))</f>
        <v>#DIV/0!</v>
      </c>
      <c r="X44" s="29" t="e" cm="1">
        <f t="array" ref="X44">$AC44*J$6*J$9/(SUMPRODUCT($E$6:$N$6,$E$9:$N$9))</f>
        <v>#DIV/0!</v>
      </c>
      <c r="Y44" s="29" t="e" cm="1">
        <f t="array" ref="Y44">$AC44*K$6*K$9/(SUMPRODUCT($E$6:$N$6,$E$9:$N$9))</f>
        <v>#DIV/0!</v>
      </c>
      <c r="Z44" s="29" t="e" cm="1">
        <f t="array" ref="Z44">$AC44*L$6*L$9/(SUMPRODUCT($E$6:$N$6,$E$9:$N$9))</f>
        <v>#DIV/0!</v>
      </c>
      <c r="AA44" s="29" t="e" cm="1">
        <f t="array" ref="AA44">$AC44*M$6*M$9/(SUMPRODUCT($E$6:$N$6,$E$9:$N$9))</f>
        <v>#DIV/0!</v>
      </c>
      <c r="AB44" s="29" t="e" cm="1">
        <f t="array" ref="AB44">$AC44*N$6*N$9/(SUMPRODUCT($E$6:$N$6,$E$9:$N$9))</f>
        <v>#DIV/0!</v>
      </c>
      <c r="AC44" s="29" t="e">
        <f>$E$4*$E$16*12/$E$10</f>
        <v>#DIV/0!</v>
      </c>
      <c r="AD44" s="27" t="e">
        <f t="shared" si="55"/>
        <v>#DIV/0!</v>
      </c>
      <c r="AE44" s="29"/>
      <c r="AF44" s="29"/>
      <c r="AG44" s="28"/>
      <c r="AH44" s="1" t="s">
        <v>68</v>
      </c>
      <c r="AI44" s="35"/>
      <c r="AJ44" s="29" t="str">
        <f t="shared" ref="AJ44:AU44" si="59">IF($E$3="纯租赁",IF(AJ38*12&lt;=$E$12,$E$4*$E$16*12,""),IF(AJ38*12&lt;=$E$28,$E$4*$E$16*12,""))</f>
        <v/>
      </c>
      <c r="AK44" s="29" t="str">
        <f t="shared" si="59"/>
        <v/>
      </c>
      <c r="AL44" s="29" t="str">
        <f t="shared" si="59"/>
        <v/>
      </c>
      <c r="AM44" s="29" t="str">
        <f t="shared" si="59"/>
        <v/>
      </c>
      <c r="AN44" s="29" t="str">
        <f t="shared" si="59"/>
        <v/>
      </c>
      <c r="AO44" s="29" t="str">
        <f t="shared" si="59"/>
        <v/>
      </c>
      <c r="AP44" s="29" t="str">
        <f t="shared" si="59"/>
        <v/>
      </c>
      <c r="AQ44" s="29" t="str">
        <f t="shared" si="59"/>
        <v/>
      </c>
      <c r="AR44" s="29" t="str">
        <f t="shared" si="59"/>
        <v/>
      </c>
      <c r="AS44" s="29" t="str">
        <f t="shared" si="59"/>
        <v/>
      </c>
      <c r="AT44" s="29" t="str">
        <f t="shared" si="59"/>
        <v/>
      </c>
      <c r="AU44" s="29" t="str">
        <f t="shared" si="59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t="e" cm="1">
        <f t="array" ref="S45">$AC45*E$6*E$9/(SUMPRODUCT($E$6:$N$6,$E$9:$N$9))</f>
        <v>#DIV/0!</v>
      </c>
      <c r="T45" s="29" t="e" cm="1">
        <f t="array" ref="T45">$AC45*F$6*F$9/(SUMPRODUCT($E$6:$N$6,$E$9:$N$9))</f>
        <v>#DIV/0!</v>
      </c>
      <c r="U45" s="29" t="e" cm="1">
        <f t="array" ref="U45">$AC45*G$6*G$9/(SUMPRODUCT($E$6:$N$6,$E$9:$N$9))</f>
        <v>#DIV/0!</v>
      </c>
      <c r="V45" s="29" t="e" cm="1">
        <f t="array" ref="V45">$AC45*H$6*H$9/(SUMPRODUCT($E$6:$N$6,$E$9:$N$9))</f>
        <v>#DIV/0!</v>
      </c>
      <c r="W45" s="29" t="e" cm="1">
        <f t="array" ref="W45">$AC45*I$6*I$9/(SUMPRODUCT($E$6:$N$6,$E$9:$N$9))</f>
        <v>#DIV/0!</v>
      </c>
      <c r="X45" s="29" t="e" cm="1">
        <f t="array" ref="X45">$AC45*J$6*J$9/(SUMPRODUCT($E$6:$N$6,$E$9:$N$9))</f>
        <v>#DIV/0!</v>
      </c>
      <c r="Y45" s="29" t="e" cm="1">
        <f t="array" ref="Y45">$AC45*K$6*K$9/(SUMPRODUCT($E$6:$N$6,$E$9:$N$9))</f>
        <v>#DIV/0!</v>
      </c>
      <c r="Z45" s="29" t="e" cm="1">
        <f t="array" ref="Z45">$AC45*L$6*L$9/(SUMPRODUCT($E$6:$N$6,$E$9:$N$9))</f>
        <v>#DIV/0!</v>
      </c>
      <c r="AA45" s="29" t="e" cm="1">
        <f t="array" ref="AA45">$AC45*M$6*M$9/(SUMPRODUCT($E$6:$N$6,$E$9:$N$9))</f>
        <v>#DIV/0!</v>
      </c>
      <c r="AB45" s="29" t="e" cm="1">
        <f t="array" ref="AB45">$AC45*N$6*N$9/(SUMPRODUCT($E$6:$N$6,$E$9:$N$9))</f>
        <v>#DIV/0!</v>
      </c>
      <c r="AC45" s="29" t="e">
        <f>$E$4*$E$17*12/$E$10</f>
        <v>#DIV/0!</v>
      </c>
      <c r="AD45" s="27" t="e">
        <f t="shared" si="55"/>
        <v>#DIV/0!</v>
      </c>
      <c r="AE45" s="29"/>
      <c r="AF45" s="29"/>
      <c r="AG45" s="28"/>
      <c r="AH45" s="1" t="s">
        <v>71</v>
      </c>
      <c r="AI45" s="35"/>
      <c r="AJ45" s="29" t="str">
        <f t="shared" ref="AJ45:AU45" si="60">IF($E$3="纯租赁",IF(AJ38*12&lt;=$E$12,$E$4*$E$17*12,""),IF(AJ38*12&lt;=$E$28,$E$4*$E$17*12,""))</f>
        <v/>
      </c>
      <c r="AK45" s="29" t="str">
        <f t="shared" si="60"/>
        <v/>
      </c>
      <c r="AL45" s="29" t="str">
        <f t="shared" si="60"/>
        <v/>
      </c>
      <c r="AM45" s="29" t="str">
        <f t="shared" si="60"/>
        <v/>
      </c>
      <c r="AN45" s="29" t="str">
        <f t="shared" si="60"/>
        <v/>
      </c>
      <c r="AO45" s="29" t="str">
        <f t="shared" si="60"/>
        <v/>
      </c>
      <c r="AP45" s="29" t="str">
        <f t="shared" si="60"/>
        <v/>
      </c>
      <c r="AQ45" s="29" t="str">
        <f t="shared" si="60"/>
        <v/>
      </c>
      <c r="AR45" s="29" t="str">
        <f t="shared" si="60"/>
        <v/>
      </c>
      <c r="AS45" s="29" t="str">
        <f t="shared" si="60"/>
        <v/>
      </c>
      <c r="AT45" s="29" t="str">
        <f t="shared" si="60"/>
        <v/>
      </c>
      <c r="AU45" s="29" t="str">
        <f t="shared" si="60"/>
        <v/>
      </c>
    </row>
    <row r="46" spans="1:63">
      <c r="P46" s="40"/>
      <c r="Q46" s="28"/>
      <c r="R46" s="35" t="s">
        <v>74</v>
      </c>
      <c r="S46" s="29" t="e" cm="1">
        <f t="array" ref="S46">$AC46*E$6*E$9/(SUMPRODUCT($E$6:$N$6,$E$9:$N$9))</f>
        <v>#DIV/0!</v>
      </c>
      <c r="T46" s="29" t="e" cm="1">
        <f t="array" ref="T46">$AC46*F$6*F$9/(SUMPRODUCT($E$6:$N$6,$E$9:$N$9))</f>
        <v>#DIV/0!</v>
      </c>
      <c r="U46" s="29" t="e" cm="1">
        <f t="array" ref="U46">$AC46*G$6*G$9/(SUMPRODUCT($E$6:$N$6,$E$9:$N$9))</f>
        <v>#DIV/0!</v>
      </c>
      <c r="V46" s="29" t="e" cm="1">
        <f t="array" ref="V46">$AC46*H$6*H$9/(SUMPRODUCT($E$6:$N$6,$E$9:$N$9))</f>
        <v>#DIV/0!</v>
      </c>
      <c r="W46" s="29" t="e" cm="1">
        <f t="array" ref="W46">$AC46*I$6*I$9/(SUMPRODUCT($E$6:$N$6,$E$9:$N$9))</f>
        <v>#DIV/0!</v>
      </c>
      <c r="X46" s="29" t="e" cm="1">
        <f t="array" ref="X46">$AC46*J$6*J$9/(SUMPRODUCT($E$6:$N$6,$E$9:$N$9))</f>
        <v>#DIV/0!</v>
      </c>
      <c r="Y46" s="29" t="e" cm="1">
        <f t="array" ref="Y46">$AC46*K$6*K$9/(SUMPRODUCT($E$6:$N$6,$E$9:$N$9))</f>
        <v>#DIV/0!</v>
      </c>
      <c r="Z46" s="29" t="e" cm="1">
        <f t="array" ref="Z46">$AC46*L$6*L$9/(SUMPRODUCT($E$6:$N$6,$E$9:$N$9))</f>
        <v>#DIV/0!</v>
      </c>
      <c r="AA46" s="29" t="e" cm="1">
        <f t="array" ref="AA46">$AC46*M$6*M$9/(SUMPRODUCT($E$6:$N$6,$E$9:$N$9))</f>
        <v>#DIV/0!</v>
      </c>
      <c r="AB46" s="29" t="e" cm="1">
        <f t="array" ref="AB46">$AC46*N$6*N$9/(SUMPRODUCT($E$6:$N$6,$E$9:$N$9))</f>
        <v>#DIV/0!</v>
      </c>
      <c r="AC46" s="29" t="e">
        <f>$E$4*$E$18*12/$E$10</f>
        <v>#DIV/0!</v>
      </c>
      <c r="AD46" s="27" t="e">
        <f t="shared" si="55"/>
        <v>#DIV/0!</v>
      </c>
      <c r="AE46" s="29"/>
      <c r="AF46" s="29"/>
      <c r="AG46" s="28"/>
      <c r="AH46" s="1" t="s">
        <v>74</v>
      </c>
      <c r="AI46" s="35"/>
      <c r="AJ46" s="29" t="str">
        <f t="shared" ref="AJ46:AU46" si="61">IF($E$3="纯租赁",IF(AJ38*12&lt;=$E$12,$E$4*$E$18*12,""),IF(AJ38*12&lt;=$E$28,$E$4*$E$18*12,""))</f>
        <v/>
      </c>
      <c r="AK46" s="29" t="str">
        <f t="shared" si="61"/>
        <v/>
      </c>
      <c r="AL46" s="29" t="str">
        <f t="shared" si="61"/>
        <v/>
      </c>
      <c r="AM46" s="29" t="str">
        <f t="shared" si="61"/>
        <v/>
      </c>
      <c r="AN46" s="29" t="str">
        <f t="shared" si="61"/>
        <v/>
      </c>
      <c r="AO46" s="29" t="str">
        <f t="shared" si="61"/>
        <v/>
      </c>
      <c r="AP46" s="29" t="str">
        <f t="shared" si="61"/>
        <v/>
      </c>
      <c r="AQ46" s="29" t="str">
        <f t="shared" si="61"/>
        <v/>
      </c>
      <c r="AR46" s="29" t="str">
        <f t="shared" si="61"/>
        <v/>
      </c>
      <c r="AS46" s="29" t="str">
        <f t="shared" si="61"/>
        <v/>
      </c>
      <c r="AT46" s="29" t="str">
        <f t="shared" si="61"/>
        <v/>
      </c>
      <c r="AU46" s="29" t="str">
        <f t="shared" si="61"/>
        <v/>
      </c>
    </row>
    <row r="47" spans="1:63">
      <c r="P47" s="40"/>
      <c r="Q47" s="28"/>
      <c r="R47" s="35" t="s">
        <v>78</v>
      </c>
      <c r="S47" s="29" t="e" cm="1">
        <f t="array" ref="S47">$AC47*E$6*E$9/(SUMPRODUCT($E$6:$N$6,$E$9:$N$9))</f>
        <v>#DIV/0!</v>
      </c>
      <c r="T47" s="29" t="e" cm="1">
        <f t="array" ref="T47">$AC47*F$6*F$9/(SUMPRODUCT($E$6:$N$6,$E$9:$N$9))</f>
        <v>#DIV/0!</v>
      </c>
      <c r="U47" s="29" t="e" cm="1">
        <f t="array" ref="U47">$AC47*G$6*G$9/(SUMPRODUCT($E$6:$N$6,$E$9:$N$9))</f>
        <v>#DIV/0!</v>
      </c>
      <c r="V47" s="29" t="e" cm="1">
        <f t="array" ref="V47">$AC47*H$6*H$9/(SUMPRODUCT($E$6:$N$6,$E$9:$N$9))</f>
        <v>#DIV/0!</v>
      </c>
      <c r="W47" s="29" t="e" cm="1">
        <f t="array" ref="W47">$AC47*I$6*I$9/(SUMPRODUCT($E$6:$N$6,$E$9:$N$9))</f>
        <v>#DIV/0!</v>
      </c>
      <c r="X47" s="29" t="e" cm="1">
        <f t="array" ref="X47">$AC47*J$6*J$9/(SUMPRODUCT($E$6:$N$6,$E$9:$N$9))</f>
        <v>#DIV/0!</v>
      </c>
      <c r="Y47" s="29" t="e" cm="1">
        <f t="array" ref="Y47">$AC47*K$6*K$9/(SUMPRODUCT($E$6:$N$6,$E$9:$N$9))</f>
        <v>#DIV/0!</v>
      </c>
      <c r="Z47" s="29" t="e" cm="1">
        <f t="array" ref="Z47">$AC47*L$6*L$9/(SUMPRODUCT($E$6:$N$6,$E$9:$N$9))</f>
        <v>#DIV/0!</v>
      </c>
      <c r="AA47" s="29" t="e" cm="1">
        <f t="array" ref="AA47">$AC47*M$6*M$9/(SUMPRODUCT($E$6:$N$6,$E$9:$N$9))</f>
        <v>#DIV/0!</v>
      </c>
      <c r="AB47" s="29" t="e" cm="1">
        <f t="array" ref="AB47">$AC47*N$6*N$9/(SUMPRODUCT($E$6:$N$6,$E$9:$N$9))</f>
        <v>#DIV/0!</v>
      </c>
      <c r="AC47" s="29" t="e">
        <f>$E$4*$E$19*12/$E$10</f>
        <v>#DIV/0!</v>
      </c>
      <c r="AD47" s="27" t="e">
        <f t="shared" si="55"/>
        <v>#DIV/0!</v>
      </c>
      <c r="AE47" s="29"/>
      <c r="AF47" s="29"/>
      <c r="AG47" s="28"/>
      <c r="AH47" s="1" t="s">
        <v>78</v>
      </c>
      <c r="AI47" s="35"/>
      <c r="AJ47" s="29" t="str">
        <f t="shared" ref="AJ47:AU47" si="62">IF($E$3="纯租赁",IF(AJ38*12&lt;=$E$12,$E$4*$E$19*12,""),IF(AJ38*12&lt;=$E$28,$E$4*$E$19*12,""))</f>
        <v/>
      </c>
      <c r="AK47" s="29" t="str">
        <f t="shared" si="62"/>
        <v/>
      </c>
      <c r="AL47" s="29" t="str">
        <f t="shared" si="62"/>
        <v/>
      </c>
      <c r="AM47" s="29" t="str">
        <f t="shared" si="62"/>
        <v/>
      </c>
      <c r="AN47" s="29" t="str">
        <f t="shared" si="62"/>
        <v/>
      </c>
      <c r="AO47" s="29" t="str">
        <f t="shared" si="62"/>
        <v/>
      </c>
      <c r="AP47" s="29" t="str">
        <f t="shared" si="62"/>
        <v/>
      </c>
      <c r="AQ47" s="29" t="str">
        <f t="shared" si="62"/>
        <v/>
      </c>
      <c r="AR47" s="29" t="str">
        <f t="shared" si="62"/>
        <v/>
      </c>
      <c r="AS47" s="29" t="str">
        <f t="shared" si="62"/>
        <v/>
      </c>
      <c r="AT47" s="29" t="str">
        <f t="shared" si="62"/>
        <v/>
      </c>
      <c r="AU47" s="29" t="str">
        <f t="shared" si="62"/>
        <v/>
      </c>
    </row>
    <row r="48" spans="1:63">
      <c r="P48" s="40"/>
      <c r="Q48" s="28"/>
      <c r="R48" s="35" t="s">
        <v>82</v>
      </c>
      <c r="S48" s="29" t="e" cm="1">
        <f t="array" ref="S48">$AC48*E$6*E$9/(SUMPRODUCT($E$6:$N$6,$E$9:$N$9))</f>
        <v>#DIV/0!</v>
      </c>
      <c r="T48" s="29" t="e" cm="1">
        <f t="array" ref="T48">$AC48*F$6*F$9/(SUMPRODUCT($E$6:$N$6,$E$9:$N$9))</f>
        <v>#DIV/0!</v>
      </c>
      <c r="U48" s="29" t="e" cm="1">
        <f t="array" ref="U48">$AC48*G$6*G$9/(SUMPRODUCT($E$6:$N$6,$E$9:$N$9))</f>
        <v>#DIV/0!</v>
      </c>
      <c r="V48" s="29" t="e" cm="1">
        <f t="array" ref="V48">$AC48*H$6*H$9/(SUMPRODUCT($E$6:$N$6,$E$9:$N$9))</f>
        <v>#DIV/0!</v>
      </c>
      <c r="W48" s="29" t="e" cm="1">
        <f t="array" ref="W48">$AC48*I$6*I$9/(SUMPRODUCT($E$6:$N$6,$E$9:$N$9))</f>
        <v>#DIV/0!</v>
      </c>
      <c r="X48" s="29" t="e" cm="1">
        <f t="array" ref="X48">$AC48*J$6*J$9/(SUMPRODUCT($E$6:$N$6,$E$9:$N$9))</f>
        <v>#DIV/0!</v>
      </c>
      <c r="Y48" s="29" t="e" cm="1">
        <f t="array" ref="Y48">$AC48*K$6*K$9/(SUMPRODUCT($E$6:$N$6,$E$9:$N$9))</f>
        <v>#DIV/0!</v>
      </c>
      <c r="Z48" s="29" t="e" cm="1">
        <f t="array" ref="Z48">$AC48*L$6*L$9/(SUMPRODUCT($E$6:$N$6,$E$9:$N$9))</f>
        <v>#DIV/0!</v>
      </c>
      <c r="AA48" s="29" t="e" cm="1">
        <f t="array" ref="AA48">$AC48*M$6*M$9/(SUMPRODUCT($E$6:$N$6,$E$9:$N$9))</f>
        <v>#DIV/0!</v>
      </c>
      <c r="AB48" s="29" t="e" cm="1">
        <f t="array" ref="AB48">$AC48*N$6*N$9/(SUMPRODUCT($E$6:$N$6,$E$9:$N$9))</f>
        <v>#DIV/0!</v>
      </c>
      <c r="AC48" s="29" t="e">
        <f>$E$4*$E$20*12/$E$10</f>
        <v>#DIV/0!</v>
      </c>
      <c r="AD48" s="27" t="e">
        <f t="shared" si="55"/>
        <v>#DIV/0!</v>
      </c>
      <c r="AE48" s="29"/>
      <c r="AF48" s="29"/>
      <c r="AG48" s="28"/>
      <c r="AH48" s="1" t="s">
        <v>82</v>
      </c>
      <c r="AI48" s="35"/>
      <c r="AJ48" s="29" t="str">
        <f t="shared" ref="AJ48:AU48" si="63">IF($E$3="纯租赁",IF(AJ38*12&lt;=$E$12,$E$4*$E$20*12,""),IF(AJ38*12&lt;=$E$28,$E$4*$E$20*12,""))</f>
        <v/>
      </c>
      <c r="AK48" s="29" t="str">
        <f t="shared" si="63"/>
        <v/>
      </c>
      <c r="AL48" s="29" t="str">
        <f t="shared" si="63"/>
        <v/>
      </c>
      <c r="AM48" s="29" t="str">
        <f t="shared" si="63"/>
        <v/>
      </c>
      <c r="AN48" s="29" t="str">
        <f t="shared" si="63"/>
        <v/>
      </c>
      <c r="AO48" s="29" t="str">
        <f t="shared" si="63"/>
        <v/>
      </c>
      <c r="AP48" s="29" t="str">
        <f t="shared" si="63"/>
        <v/>
      </c>
      <c r="AQ48" s="29" t="str">
        <f t="shared" si="63"/>
        <v/>
      </c>
      <c r="AR48" s="29" t="str">
        <f t="shared" si="63"/>
        <v/>
      </c>
      <c r="AS48" s="29" t="str">
        <f t="shared" si="63"/>
        <v/>
      </c>
      <c r="AT48" s="29" t="str">
        <f t="shared" si="63"/>
        <v/>
      </c>
      <c r="AU48" s="29" t="str">
        <f t="shared" si="63"/>
        <v/>
      </c>
    </row>
    <row r="49" spans="16:47">
      <c r="P49" s="40"/>
      <c r="Q49" s="28"/>
      <c r="R49" s="23" t="s">
        <v>85</v>
      </c>
      <c r="S49" s="24" t="e" cm="1">
        <f t="array" ref="S49">$AC49*E$6*E$9/(SUMPRODUCT($E$6:$N$6,$E$9:$N$9))</f>
        <v>#DIV/0!</v>
      </c>
      <c r="T49" s="24" t="e" cm="1">
        <f t="array" ref="T49">$AC49*F$6*F$9/(SUMPRODUCT($E$6:$N$6,$E$9:$N$9))</f>
        <v>#DIV/0!</v>
      </c>
      <c r="U49" s="24" t="e" cm="1">
        <f t="array" ref="U49">$AC49*G$6*G$9/(SUMPRODUCT($E$6:$N$6,$E$9:$N$9))</f>
        <v>#DIV/0!</v>
      </c>
      <c r="V49" s="24" t="e" cm="1">
        <f t="array" ref="V49">$AC49*H$6*H$9/(SUMPRODUCT($E$6:$N$6,$E$9:$N$9))</f>
        <v>#DIV/0!</v>
      </c>
      <c r="W49" s="24" t="e" cm="1">
        <f t="array" ref="W49">$AC49*I$6*I$9/(SUMPRODUCT($E$6:$N$6,$E$9:$N$9))</f>
        <v>#DIV/0!</v>
      </c>
      <c r="X49" s="24" t="e" cm="1">
        <f t="array" ref="X49">$AC49*J$6*J$9/(SUMPRODUCT($E$6:$N$6,$E$9:$N$9))</f>
        <v>#DIV/0!</v>
      </c>
      <c r="Y49" s="24" t="e" cm="1">
        <f t="array" ref="Y49">$AC49*K$6*K$9/(SUMPRODUCT($E$6:$N$6,$E$9:$N$9))</f>
        <v>#DIV/0!</v>
      </c>
      <c r="Z49" s="24" t="e" cm="1">
        <f t="array" ref="Z49">$AC49*L$6*L$9/(SUMPRODUCT($E$6:$N$6,$E$9:$N$9))</f>
        <v>#DIV/0!</v>
      </c>
      <c r="AA49" s="24" t="e" cm="1">
        <f t="array" ref="AA49">$AC49*M$6*M$9/(SUMPRODUCT($E$6:$N$6,$E$9:$N$9))</f>
        <v>#DIV/0!</v>
      </c>
      <c r="AB49" s="24" t="e" cm="1">
        <f t="array" ref="AB49">$AC49*N$6*N$9/(SUMPRODUCT($E$6:$N$6,$E$9:$N$9))</f>
        <v>#DIV/0!</v>
      </c>
      <c r="AC49" s="24" t="e">
        <f>$E$4*$E$21*12/$E$10</f>
        <v>#DIV/0!</v>
      </c>
      <c r="AD49" s="79" t="e">
        <f t="shared" si="55"/>
        <v>#DIV/0!</v>
      </c>
      <c r="AG49" s="28"/>
      <c r="AH49" s="1" t="s">
        <v>85</v>
      </c>
      <c r="AI49" s="35"/>
      <c r="AJ49" s="29" t="str">
        <f t="shared" ref="AJ49:AU49" si="64">IF($E$3="纯租赁",IF(AJ38*12&lt;=$E$12,$E$4*$E$21*12,""),IF(AJ38*12&lt;=$E$28,$E$4*$E$21*12,""))</f>
        <v/>
      </c>
      <c r="AK49" s="29" t="str">
        <f t="shared" si="64"/>
        <v/>
      </c>
      <c r="AL49" s="29" t="str">
        <f t="shared" si="64"/>
        <v/>
      </c>
      <c r="AM49" s="29" t="str">
        <f t="shared" si="64"/>
        <v/>
      </c>
      <c r="AN49" s="29" t="str">
        <f t="shared" si="64"/>
        <v/>
      </c>
      <c r="AO49" s="29" t="str">
        <f t="shared" si="64"/>
        <v/>
      </c>
      <c r="AP49" s="29" t="str">
        <f t="shared" si="64"/>
        <v/>
      </c>
      <c r="AQ49" s="29" t="str">
        <f t="shared" si="64"/>
        <v/>
      </c>
      <c r="AR49" s="29" t="str">
        <f t="shared" si="64"/>
        <v/>
      </c>
      <c r="AS49" s="29" t="str">
        <f t="shared" si="64"/>
        <v/>
      </c>
      <c r="AT49" s="29" t="str">
        <f t="shared" si="64"/>
        <v/>
      </c>
      <c r="AU49" s="29" t="str">
        <f t="shared" si="64"/>
        <v/>
      </c>
    </row>
    <row r="50" spans="16:47">
      <c r="Q50" s="53" t="s">
        <v>15</v>
      </c>
      <c r="R50" s="35" t="s">
        <v>88</v>
      </c>
      <c r="S50" s="29">
        <f t="shared" ref="S50:AB50" si="65">$E$4*E$9*E$22</f>
        <v>0</v>
      </c>
      <c r="T50" s="29">
        <f t="shared" si="65"/>
        <v>0</v>
      </c>
      <c r="U50" s="29">
        <f t="shared" si="65"/>
        <v>0</v>
      </c>
      <c r="V50" s="29">
        <f t="shared" si="65"/>
        <v>0</v>
      </c>
      <c r="W50" s="29">
        <f t="shared" si="65"/>
        <v>0</v>
      </c>
      <c r="X50" s="29">
        <f t="shared" si="65"/>
        <v>0</v>
      </c>
      <c r="Y50" s="29">
        <f t="shared" si="65"/>
        <v>0</v>
      </c>
      <c r="Z50" s="29">
        <f t="shared" si="65"/>
        <v>0</v>
      </c>
      <c r="AA50" s="29">
        <f t="shared" si="65"/>
        <v>0</v>
      </c>
      <c r="AB50" s="29">
        <f t="shared" si="65"/>
        <v>0</v>
      </c>
      <c r="AC50" s="29" cm="1">
        <f t="array" ref="AC50">$E$4*SUMPRODUCT($E$9:$N$9,$E$22:$N$22)</f>
        <v>0</v>
      </c>
      <c r="AD50" s="27" t="e">
        <f t="shared" si="55"/>
        <v>#DIV/0!</v>
      </c>
      <c r="AG50" s="53" t="s">
        <v>15</v>
      </c>
      <c r="AH50" s="80" t="s">
        <v>88</v>
      </c>
      <c r="AI50" s="81"/>
      <c r="AJ50" s="82" t="str" cm="1">
        <f t="array" ref="AJ50">IF($E$3="纯租赁",IF(AJ38*12&lt;=$E$12,$E$4*SUMPRODUCT($E$9:$N$9,$E$22:$N$22)*$E$10,""),IF(AJ38*12&lt;=$E$28,$E$4*SUMPRODUCT($E$9:$N$9,$E$22:$N$22)*$E$10,""))</f>
        <v/>
      </c>
      <c r="AK50" s="82" t="str" cm="1">
        <f t="array" ref="AK50">IF($E$3="纯租赁",IF(AK38*12&lt;=$E$12,$E$4*SUMPRODUCT($E$9:$N$9,$E$22:$N$22)*$E$10,""),IF(AK38*12&lt;=$E$28,$E$4*SUMPRODUCT($E$9:$N$9,$E$22:$N$22)*$E$10,""))</f>
        <v/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66">$E$4*E$9*E$23</f>
        <v>0</v>
      </c>
      <c r="T51" s="29">
        <f t="shared" si="66"/>
        <v>0</v>
      </c>
      <c r="U51" s="29">
        <f t="shared" si="66"/>
        <v>0</v>
      </c>
      <c r="V51" s="29">
        <f t="shared" si="66"/>
        <v>0</v>
      </c>
      <c r="W51" s="29">
        <f t="shared" si="66"/>
        <v>0</v>
      </c>
      <c r="X51" s="29">
        <f t="shared" si="66"/>
        <v>0</v>
      </c>
      <c r="Y51" s="29">
        <f t="shared" si="66"/>
        <v>0</v>
      </c>
      <c r="Z51" s="29">
        <f t="shared" si="66"/>
        <v>0</v>
      </c>
      <c r="AA51" s="29">
        <f t="shared" si="66"/>
        <v>0</v>
      </c>
      <c r="AB51" s="29">
        <f t="shared" si="66"/>
        <v>0</v>
      </c>
      <c r="AC51" s="29" cm="1">
        <f t="array" ref="AC51">$E$4*SUMPRODUCT($E$9:$N$9,$E$23:$N$23)</f>
        <v>0</v>
      </c>
      <c r="AD51" s="27" t="e">
        <f t="shared" si="55"/>
        <v>#DIV/0!</v>
      </c>
      <c r="AF51" s="71"/>
      <c r="AG51" s="28"/>
      <c r="AH51" s="1" t="s">
        <v>91</v>
      </c>
      <c r="AI51" s="35"/>
      <c r="AJ51" s="29" t="str" cm="1">
        <f t="array" ref="AJ51">IF($E$3="纯租赁",IF(AJ38*12&lt;=$E$12,$E$4*SUMPRODUCT($E$23:$N$23,$E$9:$N$9)*$E$10,""),IF(AJ38*12&lt;=$E$28,$E$4*SUMPRODUCT($E$23:$N$23,$E$9:$N$9)*$E$10,""))</f>
        <v/>
      </c>
      <c r="AK51" s="29" t="str" cm="1">
        <f t="array" ref="AK51">IF($E$3="纯租赁",IF(AK38*12&lt;=$E$12,$E$4*SUMPRODUCT($E$23:$N$23,$E$9:$N$9)*$E$10,""),IF(AK38*12&lt;=$E$28,$E$4*SUMPRODUCT($E$23:$N$23,$E$9:$N$9)*$E$10,""))</f>
        <v/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67">$E$4*E$9*E$24</f>
        <v>0</v>
      </c>
      <c r="T52" s="29">
        <f t="shared" si="67"/>
        <v>0</v>
      </c>
      <c r="U52" s="29">
        <f t="shared" si="67"/>
        <v>0</v>
      </c>
      <c r="V52" s="29">
        <f t="shared" si="67"/>
        <v>0</v>
      </c>
      <c r="W52" s="29">
        <f t="shared" si="67"/>
        <v>0</v>
      </c>
      <c r="X52" s="29">
        <f t="shared" si="67"/>
        <v>0</v>
      </c>
      <c r="Y52" s="29">
        <f t="shared" si="67"/>
        <v>0</v>
      </c>
      <c r="Z52" s="29">
        <f t="shared" si="67"/>
        <v>0</v>
      </c>
      <c r="AA52" s="29">
        <f t="shared" si="67"/>
        <v>0</v>
      </c>
      <c r="AB52" s="29">
        <f t="shared" si="67"/>
        <v>0</v>
      </c>
      <c r="AC52" s="29" cm="1">
        <f t="array" ref="AC52">$E$4*SUMPRODUCT($E$9:$N$9,$E$24:$N$24)</f>
        <v>0</v>
      </c>
      <c r="AD52" s="27" t="e">
        <f t="shared" si="55"/>
        <v>#DIV/0!</v>
      </c>
      <c r="AG52" s="28"/>
      <c r="AH52" s="1" t="s">
        <v>94</v>
      </c>
      <c r="AI52" s="35"/>
      <c r="AJ52" s="29" t="str" cm="1">
        <f t="array" ref="AJ52">IF($E$3="纯租赁",IF(AJ38*12&lt;=$E$12,$E$4*$E$10*SUMPRODUCT($E$24:$N$24,$E$9:$N$9),""),IF(AJ38*12&lt;=$E$28,$E$4*$E$10*SUMPRODUCT($E$24:$N$24,$E$9:$N$9),""))</f>
        <v/>
      </c>
      <c r="AK52" s="29" t="str" cm="1">
        <f t="array" ref="AK52">IF($E$3="纯租赁",IF(AK38*12&lt;=$E$12,$E$4*$E$10*SUMPRODUCT($E$24:$N$24,$E$9:$N$9),""),IF(AK38*12&lt;=$E$28,$E$4*$E$10*SUMPRODUCT($E$24:$N$24,$E$9:$N$9),""))</f>
        <v/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68">$E$4*E$9*E$25</f>
        <v>0</v>
      </c>
      <c r="T53" s="29">
        <f t="shared" si="68"/>
        <v>0</v>
      </c>
      <c r="U53" s="29">
        <f t="shared" si="68"/>
        <v>0</v>
      </c>
      <c r="V53" s="29">
        <f t="shared" si="68"/>
        <v>0</v>
      </c>
      <c r="W53" s="29">
        <f t="shared" si="68"/>
        <v>0</v>
      </c>
      <c r="X53" s="29">
        <f t="shared" si="68"/>
        <v>0</v>
      </c>
      <c r="Y53" s="29">
        <f t="shared" si="68"/>
        <v>0</v>
      </c>
      <c r="Z53" s="29">
        <f t="shared" si="68"/>
        <v>0</v>
      </c>
      <c r="AA53" s="29">
        <f t="shared" si="68"/>
        <v>0</v>
      </c>
      <c r="AB53" s="29">
        <f t="shared" si="68"/>
        <v>0</v>
      </c>
      <c r="AC53" s="29" cm="1">
        <f t="array" ref="AC53">$E$4*SUMPRODUCT($E$9:$N$9,$E$25:$N$25)</f>
        <v>0</v>
      </c>
      <c r="AD53" s="27" t="e">
        <f t="shared" si="55"/>
        <v>#DIV/0!</v>
      </c>
      <c r="AG53" s="28"/>
      <c r="AH53" s="1" t="s">
        <v>97</v>
      </c>
      <c r="AI53" s="35"/>
      <c r="AJ53" s="29" t="str" cm="1">
        <f t="array" ref="AJ53">IF($E$3="纯租赁",IF(AJ38*12&lt;=$E$12,$E$4*$E$10*SUMPRODUCT($E$25:$N$25,$E$9:$N$9),""),IF(AJ38*12&lt;=$E$28,$E$4*$E$10*SUMPRODUCT($E$25:$N$25,$E$9:$N$9),""))</f>
        <v/>
      </c>
      <c r="AK53" s="29" t="str" cm="1">
        <f t="array" ref="AK53">IF($E$3="纯租赁",IF(AK38*12&lt;=$E$12,$E$4*$E$10*SUMPRODUCT($E$25:$N$25,$E$9:$N$9),""),IF(AK38*12&lt;=$E$28,$E$4*$E$10*SUMPRODUCT($E$25:$N$25,$E$9:$N$9),""))</f>
        <v/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69">IF(E$8,$E$4*$E$32*$E$5*E$6,$E$4*$E$33*$E$5*E$6)*E$9</f>
        <v>0</v>
      </c>
      <c r="T54" s="20">
        <f t="shared" si="69"/>
        <v>0</v>
      </c>
      <c r="U54" s="20">
        <f t="shared" si="69"/>
        <v>0</v>
      </c>
      <c r="V54" s="20">
        <f t="shared" si="69"/>
        <v>0</v>
      </c>
      <c r="W54" s="20">
        <f t="shared" si="69"/>
        <v>0</v>
      </c>
      <c r="X54" s="20">
        <f t="shared" si="69"/>
        <v>0</v>
      </c>
      <c r="Y54" s="20">
        <f t="shared" si="69"/>
        <v>0</v>
      </c>
      <c r="Z54" s="20">
        <f t="shared" si="69"/>
        <v>0</v>
      </c>
      <c r="AA54" s="20">
        <f t="shared" si="69"/>
        <v>0</v>
      </c>
      <c r="AB54" s="20">
        <f t="shared" si="69"/>
        <v>0</v>
      </c>
      <c r="AC54" s="29" cm="1">
        <f t="array" ref="AC54">$E$4*$E$5*SUMPRODUCT(IF($E$8:$N$8,$E$32,$E$33),$E$6:$N$6,$E$9:$N$9)</f>
        <v>0</v>
      </c>
      <c r="AD54" s="27" t="e">
        <f t="shared" si="55"/>
        <v>#DIV/0!</v>
      </c>
      <c r="AG54" s="28"/>
      <c r="AH54" s="1" t="s">
        <v>100</v>
      </c>
      <c r="AI54" s="35"/>
      <c r="AJ54" s="29" t="str" cm="1">
        <f t="array" ref="AJ54">IF($E$3="纯租赁",IF(AJ38*12&lt;=$E$12,$E$4*$E$5*$E$10*SUMPRODUCT(IF($E$8:$N$8,$E$32,$E$33),$E$6:$N$6,$E$9:$N$9),""),IF(AJ38*12&lt;=$E$28,$E$4*$E$5*$E$10*SUMPRODUCT(IF($E$8:$N$8,$E$32,$E$33),$E$6:$N$6,$E$9:$N$9),""))</f>
        <v/>
      </c>
      <c r="AK54" s="29" t="str" cm="1">
        <f t="array" ref="AK54">IF($E$3="纯租赁",IF(AK38*12&lt;=$E$12,$E$4*$E$5*$E$10*SUMPRODUCT(IF($E$8:$N$8,$E$32,$E$33),$E$6:$N$6,$E$9:$N$9),""),IF(AK38*12&lt;=$E$28,$E$4*$E$5*$E$10*SUMPRODUCT(IF($E$8:$N$8,$E$32,$E$33),$E$6:$N$6,$E$9:$N$9),""))</f>
        <v/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t="e" cm="1">
        <f t="array" ref="S55">$AC55*E$6*E$9/(SUMPRODUCT($E$6:$N$6,$E$9:$N$9))</f>
        <v>#DIV/0!</v>
      </c>
      <c r="T55" s="24" t="e" cm="1">
        <f t="array" ref="T55">$AC55*F$6*F$9/(SUMPRODUCT($E$6:$N$6,$E$9:$N$9))</f>
        <v>#DIV/0!</v>
      </c>
      <c r="U55" s="24" t="e" cm="1">
        <f t="array" ref="U55">$AC55*G$6*G$9/(SUMPRODUCT($E$6:$N$6,$E$9:$N$9))</f>
        <v>#DIV/0!</v>
      </c>
      <c r="V55" s="24" t="e" cm="1">
        <f t="array" ref="V55">$AC55*H$6*H$9/(SUMPRODUCT($E$6:$N$6,$E$9:$N$9))</f>
        <v>#DIV/0!</v>
      </c>
      <c r="W55" s="24" t="e" cm="1">
        <f t="array" ref="W55">$AC55*I$6*I$9/(SUMPRODUCT($E$6:$N$6,$E$9:$N$9))</f>
        <v>#DIV/0!</v>
      </c>
      <c r="X55" s="24" t="e" cm="1">
        <f t="array" ref="X55">$AC55*J$6*J$9/(SUMPRODUCT($E$6:$N$6,$E$9:$N$9))</f>
        <v>#DIV/0!</v>
      </c>
      <c r="Y55" s="24" t="e" cm="1">
        <f t="array" ref="Y55">$AC55*K$6*K$9/(SUMPRODUCT($E$6:$N$6,$E$9:$N$9))</f>
        <v>#DIV/0!</v>
      </c>
      <c r="Z55" s="24" t="e" cm="1">
        <f t="array" ref="Z55">$AC55*L$6*L$9/(SUMPRODUCT($E$6:$N$6,$E$9:$N$9))</f>
        <v>#DIV/0!</v>
      </c>
      <c r="AA55" s="24" t="e" cm="1">
        <f t="array" ref="AA55">$AC55*M$6*M$9/(SUMPRODUCT($E$6:$N$6,$E$9:$N$9))</f>
        <v>#DIV/0!</v>
      </c>
      <c r="AB55" s="24" t="e" cm="1">
        <f t="array" ref="AB55">$AC55*N$6*N$9/(SUMPRODUCT($E$6:$N$6,$E$9:$N$9))</f>
        <v>#DIV/0!</v>
      </c>
      <c r="AC55" s="24" cm="1">
        <f t="array" ref="AC55">SUMPRODUCT($E$6:$N$6,$E$9:$N$9)/$E$29*$E$30*$E$4*$E$31</f>
        <v>0</v>
      </c>
      <c r="AD55" s="79" t="e">
        <f t="shared" si="55"/>
        <v>#DIV/0!</v>
      </c>
      <c r="AG55" s="22"/>
      <c r="AH55" s="50" t="s">
        <v>103</v>
      </c>
      <c r="AI55" s="23"/>
      <c r="AJ55" s="24" t="str" cm="1">
        <f t="array" ref="AJ55">IF($E$3="纯租赁",IF(AJ38*12&lt;=$E$12,SUMPRODUCT($E$6:$N$6,$E$9:$N$9)*$E$10/$E$29*$E$30*$E$4*$E$31,""),IF(AJ38*12&lt;=$E$28,SUMPRODUCT($E$6:$N$6,$E$9:$N$9)*$E$10/$E$29*$E$30*$E$4*$E$31,""))</f>
        <v/>
      </c>
      <c r="AK55" s="24" t="str" cm="1">
        <f t="array" ref="AK55">IF($E$3="纯租赁",IF(AK38*12&lt;=$E$12,SUMPRODUCT($E$6:$N$6,$E$9:$N$9)*$E$10/$E$29*$E$30*$E$4*$E$31,""),IF(AK38*12&lt;=$E$28,SUMPRODUCT($E$6:$N$6,$E$9:$N$9)*$E$10/$E$29*$E$30*$E$4*$E$31,""))</f>
        <v/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t="e" cm="1">
        <f t="array" ref="S56">$AC56*E$6*E$9/(SUMPRODUCT($E$6:$N$6,$E$9:$N$9))</f>
        <v>#DIV/0!</v>
      </c>
      <c r="T56" s="29" t="e" cm="1">
        <f t="array" ref="T56">$AC56*F$6*F$9/(SUMPRODUCT($E$6:$N$6,$E$9:$N$9))</f>
        <v>#DIV/0!</v>
      </c>
      <c r="U56" s="29" t="e" cm="1">
        <f t="array" ref="U56">$AC56*G$6*G$9/(SUMPRODUCT($E$6:$N$6,$E$9:$N$9))</f>
        <v>#DIV/0!</v>
      </c>
      <c r="V56" s="29" t="e" cm="1">
        <f t="array" ref="V56">$AC56*H$6*H$9/(SUMPRODUCT($E$6:$N$6,$E$9:$N$9))</f>
        <v>#DIV/0!</v>
      </c>
      <c r="W56" s="29" t="e" cm="1">
        <f t="array" ref="W56">$AC56*I$6*I$9/(SUMPRODUCT($E$6:$N$6,$E$9:$N$9))</f>
        <v>#DIV/0!</v>
      </c>
      <c r="X56" s="29" t="e" cm="1">
        <f t="array" ref="X56">$AC56*J$6*J$9/(SUMPRODUCT($E$6:$N$6,$E$9:$N$9))</f>
        <v>#DIV/0!</v>
      </c>
      <c r="Y56" s="29" t="e" cm="1">
        <f t="array" ref="Y56">$AC56*K$6*K$9/(SUMPRODUCT($E$6:$N$6,$E$9:$N$9))</f>
        <v>#DIV/0!</v>
      </c>
      <c r="Z56" s="29" t="e" cm="1">
        <f t="array" ref="Z56">$AC56*L$6*L$9/(SUMPRODUCT($E$6:$N$6,$E$9:$N$9))</f>
        <v>#DIV/0!</v>
      </c>
      <c r="AA56" s="29" t="e" cm="1">
        <f t="array" ref="AA56">$AC56*M$6*M$9/(SUMPRODUCT($E$6:$N$6,$E$9:$N$9))</f>
        <v>#DIV/0!</v>
      </c>
      <c r="AB56" s="29" t="e" cm="1">
        <f t="array" ref="AB56">$AC56*N$6*N$9/(SUMPRODUCT($E$6:$N$6,$E$9:$N$9))</f>
        <v>#DIV/0!</v>
      </c>
      <c r="AC56" s="29">
        <f>AC39*$E$34/12*$E$26</f>
        <v>0</v>
      </c>
      <c r="AD56" s="27" t="e">
        <f t="shared" si="55"/>
        <v>#DIV/0!</v>
      </c>
      <c r="AG56" s="28" t="s">
        <v>16</v>
      </c>
      <c r="AH56" s="1" t="s">
        <v>106</v>
      </c>
      <c r="AI56" s="35"/>
      <c r="AJ56" s="29" t="str">
        <f t="shared" ref="AJ56:AU56" si="70">IFERROR(AJ39*$E$34/12*$E$26,"")</f>
        <v/>
      </c>
      <c r="AK56" s="29" t="str">
        <f t="shared" si="70"/>
        <v/>
      </c>
      <c r="AL56" s="29" t="str">
        <f t="shared" si="70"/>
        <v/>
      </c>
      <c r="AM56" s="29" t="str">
        <f t="shared" si="70"/>
        <v/>
      </c>
      <c r="AN56" s="29" t="str">
        <f t="shared" si="70"/>
        <v/>
      </c>
      <c r="AO56" s="29" t="str">
        <f t="shared" si="70"/>
        <v/>
      </c>
      <c r="AP56" s="29" t="str">
        <f t="shared" si="70"/>
        <v/>
      </c>
      <c r="AQ56" s="29" t="str">
        <f t="shared" si="70"/>
        <v/>
      </c>
      <c r="AR56" s="29" t="str">
        <f t="shared" si="70"/>
        <v/>
      </c>
      <c r="AS56" s="29" t="str">
        <f t="shared" si="70"/>
        <v/>
      </c>
      <c r="AT56" s="29" t="str">
        <f t="shared" si="70"/>
        <v/>
      </c>
      <c r="AU56" s="29" t="str">
        <f t="shared" si="70"/>
        <v/>
      </c>
    </row>
    <row r="57" spans="16:47">
      <c r="Q57" s="64"/>
      <c r="R57" s="35" t="s">
        <v>109</v>
      </c>
      <c r="S57" s="29" t="e" cm="1">
        <f t="array" ref="S57">$AC57*E$6*E$9/(SUMPRODUCT($E$6:$N$6,$E$9:$N$9))</f>
        <v>#DIV/0!</v>
      </c>
      <c r="T57" s="29" t="e" cm="1">
        <f t="array" ref="T57">$AC57*F$6*F$9/(SUMPRODUCT($E$6:$N$6,$E$9:$N$9))</f>
        <v>#DIV/0!</v>
      </c>
      <c r="U57" s="29" t="e" cm="1">
        <f t="array" ref="U57">$AC57*G$6*G$9/(SUMPRODUCT($E$6:$N$6,$E$9:$N$9))</f>
        <v>#DIV/0!</v>
      </c>
      <c r="V57" s="29" t="e" cm="1">
        <f t="array" ref="V57">$AC57*H$6*H$9/(SUMPRODUCT($E$6:$N$6,$E$9:$N$9))</f>
        <v>#DIV/0!</v>
      </c>
      <c r="W57" s="29" t="e" cm="1">
        <f t="array" ref="W57">$AC57*I$6*I$9/(SUMPRODUCT($E$6:$N$6,$E$9:$N$9))</f>
        <v>#DIV/0!</v>
      </c>
      <c r="X57" s="29" t="e" cm="1">
        <f t="array" ref="X57">$AC57*J$6*J$9/(SUMPRODUCT($E$6:$N$6,$E$9:$N$9))</f>
        <v>#DIV/0!</v>
      </c>
      <c r="Y57" s="29" t="e" cm="1">
        <f t="array" ref="Y57">$AC57*K$6*K$9/(SUMPRODUCT($E$6:$N$6,$E$9:$N$9))</f>
        <v>#DIV/0!</v>
      </c>
      <c r="Z57" s="29" t="e" cm="1">
        <f t="array" ref="Z57">$AC57*L$6*L$9/(SUMPRODUCT($E$6:$N$6,$E$9:$N$9))</f>
        <v>#DIV/0!</v>
      </c>
      <c r="AA57" s="29" t="e" cm="1">
        <f t="array" ref="AA57">$AC57*M$6*M$9/(SUMPRODUCT($E$6:$N$6,$E$9:$N$9))</f>
        <v>#DIV/0!</v>
      </c>
      <c r="AB57" s="29" t="e" cm="1">
        <f t="array" ref="AB57">$AC57*N$6*N$9/(SUMPRODUCT($E$6:$N$6,$E$9:$N$9))</f>
        <v>#DIV/0!</v>
      </c>
      <c r="AC57" s="29" t="e">
        <f>($E$4*$E$13*12/$E$10+SUM(AC42:AC55))*$E$35/12*$E$27</f>
        <v>#DIV/0!</v>
      </c>
      <c r="AD57" s="27" t="e">
        <f t="shared" si="55"/>
        <v>#DIV/0!</v>
      </c>
      <c r="AG57" s="28"/>
      <c r="AH57" s="1" t="s">
        <v>109</v>
      </c>
      <c r="AI57" s="35"/>
      <c r="AJ57" s="29" t="str">
        <f t="shared" ref="AJ57:AU57" si="71">IF($E$3="纯租赁",IF(AJ38*12&lt;=$E$12,SUM(AJ41:AJ55)*$E$35/12*$E$27,""),IF(AJ38*12&lt;=$E$28,SUM(AJ41:AJ55)*$E$35/12*$E$27,""))</f>
        <v/>
      </c>
      <c r="AK57" s="29" t="str">
        <f t="shared" si="71"/>
        <v/>
      </c>
      <c r="AL57" s="29" t="str">
        <f t="shared" si="71"/>
        <v/>
      </c>
      <c r="AM57" s="29" t="str">
        <f t="shared" si="71"/>
        <v/>
      </c>
      <c r="AN57" s="29" t="str">
        <f t="shared" si="71"/>
        <v/>
      </c>
      <c r="AO57" s="29" t="str">
        <f t="shared" si="71"/>
        <v/>
      </c>
      <c r="AP57" s="29" t="str">
        <f t="shared" si="71"/>
        <v/>
      </c>
      <c r="AQ57" s="29" t="str">
        <f t="shared" si="71"/>
        <v/>
      </c>
      <c r="AR57" s="29" t="str">
        <f t="shared" si="71"/>
        <v/>
      </c>
      <c r="AS57" s="29" t="str">
        <f t="shared" si="71"/>
        <v/>
      </c>
      <c r="AT57" s="29" t="str">
        <f t="shared" si="71"/>
        <v/>
      </c>
      <c r="AU57" s="29" t="str">
        <f t="shared" si="71"/>
        <v/>
      </c>
    </row>
    <row r="58" spans="16:47">
      <c r="Q58" s="53" t="s">
        <v>17</v>
      </c>
      <c r="R58" s="65" t="s">
        <v>112</v>
      </c>
      <c r="S58" s="55" t="e" cm="1">
        <f t="array" ref="S58">$AC58*E$6*E$9/(SUMPRODUCT($E$6:$N$6,$E$9:$N$9))</f>
        <v>#DIV/0!</v>
      </c>
      <c r="T58" s="55" t="e" cm="1">
        <f t="array" ref="T58">$AC58*F$6*F$9/(SUMPRODUCT($E$6:$N$6,$E$9:$N$9))</f>
        <v>#DIV/0!</v>
      </c>
      <c r="U58" s="55" t="e" cm="1">
        <f t="array" ref="U58">$AC58*G$6*G$9/(SUMPRODUCT($E$6:$N$6,$E$9:$N$9))</f>
        <v>#DIV/0!</v>
      </c>
      <c r="V58" s="55" t="e" cm="1">
        <f t="array" ref="V58">$AC58*H$6*H$9/(SUMPRODUCT($E$6:$N$6,$E$9:$N$9))</f>
        <v>#DIV/0!</v>
      </c>
      <c r="W58" s="55" t="e" cm="1">
        <f t="array" ref="W58">$AC58*I$6*I$9/(SUMPRODUCT($E$6:$N$6,$E$9:$N$9))</f>
        <v>#DIV/0!</v>
      </c>
      <c r="X58" s="55" t="e" cm="1">
        <f t="array" ref="X58">$AC58*J$6*J$9/(SUMPRODUCT($E$6:$N$6,$E$9:$N$9))</f>
        <v>#DIV/0!</v>
      </c>
      <c r="Y58" s="55" t="e" cm="1">
        <f t="array" ref="Y58">$AC58*K$6*K$9/(SUMPRODUCT($E$6:$N$6,$E$9:$N$9))</f>
        <v>#DIV/0!</v>
      </c>
      <c r="Z58" s="55" t="e" cm="1">
        <f t="array" ref="Z58">$AC58*L$6*L$9/(SUMPRODUCT($E$6:$N$6,$E$9:$N$9))</f>
        <v>#DIV/0!</v>
      </c>
      <c r="AA58" s="55" t="e" cm="1">
        <f t="array" ref="AA58">$AC58*M$6*M$9/(SUMPRODUCT($E$6:$N$6,$E$9:$N$9))</f>
        <v>#DIV/0!</v>
      </c>
      <c r="AB58" s="55" t="e" cm="1">
        <f t="array" ref="AB58">$AC58*N$6*N$9/(SUMPRODUCT($E$6:$N$6,$E$9:$N$9))</f>
        <v>#DIV/0!</v>
      </c>
      <c r="AC58" s="55">
        <f>AC39*0.09/1.09</f>
        <v>0</v>
      </c>
      <c r="AD58" s="102" t="e">
        <f>AC60/AC61</f>
        <v>#DIV/0!</v>
      </c>
      <c r="AG58" s="53" t="s">
        <v>17</v>
      </c>
      <c r="AH58" s="54" t="s">
        <v>112</v>
      </c>
      <c r="AI58" s="65"/>
      <c r="AJ58" s="55" t="str">
        <f t="shared" ref="AJ58:AU58" si="72">IFERROR(AJ39*0.09/1.09,"")</f>
        <v/>
      </c>
      <c r="AK58" s="55" t="str">
        <f t="shared" si="72"/>
        <v/>
      </c>
      <c r="AL58" s="55" t="str">
        <f t="shared" si="72"/>
        <v/>
      </c>
      <c r="AM58" s="55" t="str">
        <f t="shared" si="72"/>
        <v/>
      </c>
      <c r="AN58" s="55" t="str">
        <f t="shared" si="72"/>
        <v/>
      </c>
      <c r="AO58" s="55" t="str">
        <f t="shared" si="72"/>
        <v/>
      </c>
      <c r="AP58" s="55" t="str">
        <f t="shared" si="72"/>
        <v/>
      </c>
      <c r="AQ58" s="55" t="str">
        <f t="shared" si="72"/>
        <v/>
      </c>
      <c r="AR58" s="55" t="str">
        <f t="shared" si="72"/>
        <v/>
      </c>
      <c r="AS58" s="55" t="str">
        <f t="shared" si="72"/>
        <v/>
      </c>
      <c r="AT58" s="55" t="str">
        <f t="shared" si="72"/>
        <v/>
      </c>
      <c r="AU58" s="55" t="str">
        <f t="shared" si="72"/>
        <v/>
      </c>
    </row>
    <row r="59" spans="16:47">
      <c r="Q59" s="64"/>
      <c r="R59" s="66" t="s">
        <v>115</v>
      </c>
      <c r="S59" s="57" t="e" cm="1">
        <f t="array" ref="S59">$AC59*E$6*E$9/(SUMPRODUCT($E$6:$N$6,$E$9:$N$9))</f>
        <v>#DIV/0!</v>
      </c>
      <c r="T59" s="57" t="e" cm="1">
        <f t="array" ref="T59">$AC59*F$6*F$9/(SUMPRODUCT($E$6:$N$6,$E$9:$N$9))</f>
        <v>#DIV/0!</v>
      </c>
      <c r="U59" s="57" t="e" cm="1">
        <f t="array" ref="U59">$AC59*G$6*G$9/(SUMPRODUCT($E$6:$N$6,$E$9:$N$9))</f>
        <v>#DIV/0!</v>
      </c>
      <c r="V59" s="57" t="e" cm="1">
        <f t="array" ref="V59">$AC59*H$6*H$9/(SUMPRODUCT($E$6:$N$6,$E$9:$N$9))</f>
        <v>#DIV/0!</v>
      </c>
      <c r="W59" s="57" t="e" cm="1">
        <f t="array" ref="W59">$AC59*I$6*I$9/(SUMPRODUCT($E$6:$N$6,$E$9:$N$9))</f>
        <v>#DIV/0!</v>
      </c>
      <c r="X59" s="57" t="e" cm="1">
        <f t="array" ref="X59">$AC59*J$6*J$9/(SUMPRODUCT($E$6:$N$6,$E$9:$N$9))</f>
        <v>#DIV/0!</v>
      </c>
      <c r="Y59" s="57" t="e" cm="1">
        <f t="array" ref="Y59">$AC59*K$6*K$9/(SUMPRODUCT($E$6:$N$6,$E$9:$N$9))</f>
        <v>#DIV/0!</v>
      </c>
      <c r="Z59" s="57" t="e" cm="1">
        <f t="array" ref="Z59">$AC59*L$6*L$9/(SUMPRODUCT($E$6:$N$6,$E$9:$N$9))</f>
        <v>#DIV/0!</v>
      </c>
      <c r="AA59" s="57" t="e" cm="1">
        <f t="array" ref="AA59">$AC59*M$6*M$9/(SUMPRODUCT($E$6:$N$6,$E$9:$N$9))</f>
        <v>#DIV/0!</v>
      </c>
      <c r="AB59" s="57" t="e" cm="1">
        <f t="array" ref="AB59">$AC59*N$6*N$9/(SUMPRODUCT($E$6:$N$6,$E$9:$N$9))</f>
        <v>#DIV/0!</v>
      </c>
      <c r="AC59" s="57" t="e">
        <f>(AC41+AC54+AC55)*0.13/1.13+AC46*0.06/1.06</f>
        <v>#DIV/0!</v>
      </c>
      <c r="AD59" s="103"/>
      <c r="AG59" s="28"/>
      <c r="AH59" s="56" t="s">
        <v>115</v>
      </c>
      <c r="AI59" s="57">
        <f>AI40*0.13/1.13</f>
        <v>0</v>
      </c>
      <c r="AJ59" s="57" t="str">
        <f t="shared" ref="AJ59:AU59" si="73">IFERROR((AJ41+AJ54+AJ55)*0.13/1.13+AJ46*0.06/1.06,"")</f>
        <v/>
      </c>
      <c r="AK59" s="57" t="str">
        <f t="shared" si="73"/>
        <v/>
      </c>
      <c r="AL59" s="57" t="str">
        <f t="shared" si="73"/>
        <v/>
      </c>
      <c r="AM59" s="57" t="str">
        <f t="shared" si="73"/>
        <v/>
      </c>
      <c r="AN59" s="57" t="str">
        <f t="shared" si="73"/>
        <v/>
      </c>
      <c r="AO59" s="57" t="str">
        <f t="shared" si="73"/>
        <v/>
      </c>
      <c r="AP59" s="57" t="str">
        <f t="shared" si="73"/>
        <v/>
      </c>
      <c r="AQ59" s="57" t="str">
        <f t="shared" si="73"/>
        <v/>
      </c>
      <c r="AR59" s="57" t="str">
        <f t="shared" si="73"/>
        <v/>
      </c>
      <c r="AS59" s="57" t="str">
        <f t="shared" si="73"/>
        <v/>
      </c>
      <c r="AT59" s="57" t="str">
        <f t="shared" si="73"/>
        <v/>
      </c>
      <c r="AU59" s="57" t="str">
        <f t="shared" si="73"/>
        <v/>
      </c>
    </row>
    <row r="60" spans="16:47">
      <c r="Q60" s="22"/>
      <c r="R60" s="23" t="s">
        <v>118</v>
      </c>
      <c r="S60" s="24" t="e">
        <f t="shared" ref="S60:AC60" si="74">MAX(0,S58-S59)</f>
        <v>#DIV/0!</v>
      </c>
      <c r="T60" s="24" t="e">
        <f t="shared" si="74"/>
        <v>#DIV/0!</v>
      </c>
      <c r="U60" s="24" t="e">
        <f t="shared" si="74"/>
        <v>#DIV/0!</v>
      </c>
      <c r="V60" s="24" t="e">
        <f t="shared" si="74"/>
        <v>#DIV/0!</v>
      </c>
      <c r="W60" s="24" t="e">
        <f t="shared" si="74"/>
        <v>#DIV/0!</v>
      </c>
      <c r="X60" s="24" t="e">
        <f t="shared" si="74"/>
        <v>#DIV/0!</v>
      </c>
      <c r="Y60" s="24" t="e">
        <f t="shared" si="74"/>
        <v>#DIV/0!</v>
      </c>
      <c r="Z60" s="24" t="e">
        <f t="shared" si="74"/>
        <v>#DIV/0!</v>
      </c>
      <c r="AA60" s="24" t="e">
        <f t="shared" si="74"/>
        <v>#DIV/0!</v>
      </c>
      <c r="AB60" s="24" t="e">
        <f t="shared" si="74"/>
        <v>#DIV/0!</v>
      </c>
      <c r="AC60" s="24" t="e">
        <f t="shared" si="74"/>
        <v>#DIV/0!</v>
      </c>
      <c r="AD60" s="104"/>
      <c r="AG60" s="22"/>
      <c r="AH60" s="50" t="s">
        <v>118</v>
      </c>
      <c r="AI60" s="24">
        <f>AI58-AI59</f>
        <v>0</v>
      </c>
      <c r="AJ60" s="24" t="str">
        <f t="shared" ref="AJ60:AU60" si="75">IFERROR(MAX(0,AJ58-AJ59),"")</f>
        <v/>
      </c>
      <c r="AK60" s="24" t="str">
        <f t="shared" si="75"/>
        <v/>
      </c>
      <c r="AL60" s="24" t="str">
        <f t="shared" si="75"/>
        <v/>
      </c>
      <c r="AM60" s="24" t="str">
        <f t="shared" si="75"/>
        <v/>
      </c>
      <c r="AN60" s="24" t="str">
        <f t="shared" si="75"/>
        <v/>
      </c>
      <c r="AO60" s="24" t="str">
        <f t="shared" si="75"/>
        <v/>
      </c>
      <c r="AP60" s="24" t="str">
        <f t="shared" si="75"/>
        <v/>
      </c>
      <c r="AQ60" s="24" t="str">
        <f t="shared" si="75"/>
        <v/>
      </c>
      <c r="AR60" s="24" t="str">
        <f t="shared" si="75"/>
        <v/>
      </c>
      <c r="AS60" s="24" t="str">
        <f t="shared" si="75"/>
        <v/>
      </c>
      <c r="AT60" s="24" t="str">
        <f t="shared" si="75"/>
        <v/>
      </c>
      <c r="AU60" s="24" t="str">
        <f t="shared" si="75"/>
        <v/>
      </c>
    </row>
    <row r="61" ht="16.5" spans="16:47">
      <c r="Q61" s="44" t="s">
        <v>138</v>
      </c>
      <c r="R61" s="44"/>
      <c r="S61" s="76" t="e">
        <f t="shared" ref="S61:AB61" si="76">SUM(S41:S57)+S60</f>
        <v>#DIV/0!</v>
      </c>
      <c r="T61" s="76" t="e">
        <f t="shared" si="76"/>
        <v>#DIV/0!</v>
      </c>
      <c r="U61" s="76" t="e">
        <f t="shared" si="76"/>
        <v>#DIV/0!</v>
      </c>
      <c r="V61" s="76" t="e">
        <f t="shared" si="76"/>
        <v>#DIV/0!</v>
      </c>
      <c r="W61" s="76" t="e">
        <f t="shared" si="76"/>
        <v>#DIV/0!</v>
      </c>
      <c r="X61" s="76" t="e">
        <f t="shared" si="76"/>
        <v>#DIV/0!</v>
      </c>
      <c r="Y61" s="76" t="e">
        <f t="shared" si="76"/>
        <v>#DIV/0!</v>
      </c>
      <c r="Z61" s="76" t="e">
        <f t="shared" si="76"/>
        <v>#DIV/0!</v>
      </c>
      <c r="AA61" s="76" t="e">
        <f t="shared" si="76"/>
        <v>#DIV/0!</v>
      </c>
      <c r="AB61" s="76" t="e">
        <f t="shared" si="76"/>
        <v>#DIV/0!</v>
      </c>
      <c r="AC61" s="77" t="e">
        <f>SUM(AC41:AC57)+MAX(0,AC58-AC59)</f>
        <v>#DIV/0!</v>
      </c>
      <c r="AD61" s="77"/>
      <c r="AG61" s="48" t="s">
        <v>121</v>
      </c>
      <c r="AH61" s="48"/>
      <c r="AI61" s="58">
        <f>-AI40+AI60</f>
        <v>0</v>
      </c>
      <c r="AJ61" s="58" t="str">
        <f t="shared" ref="AJ61:AU61" si="77">IFERROR(AJ39-SUM(AJ41:AJ57)-AJ60,"")</f>
        <v/>
      </c>
      <c r="AK61" s="58" t="str">
        <f t="shared" si="77"/>
        <v/>
      </c>
      <c r="AL61" s="58" t="str">
        <f t="shared" si="77"/>
        <v/>
      </c>
      <c r="AM61" s="58" t="str">
        <f t="shared" si="77"/>
        <v/>
      </c>
      <c r="AN61" s="58" t="str">
        <f t="shared" si="77"/>
        <v/>
      </c>
      <c r="AO61" s="58" t="str">
        <f t="shared" si="77"/>
        <v/>
      </c>
      <c r="AP61" s="58" t="str">
        <f t="shared" si="77"/>
        <v/>
      </c>
      <c r="AQ61" s="58" t="str">
        <f t="shared" si="77"/>
        <v/>
      </c>
      <c r="AR61" s="58" t="str">
        <f t="shared" si="77"/>
        <v/>
      </c>
      <c r="AS61" s="58" t="str">
        <f t="shared" si="77"/>
        <v/>
      </c>
      <c r="AT61" s="58" t="str">
        <f t="shared" si="77"/>
        <v/>
      </c>
      <c r="AU61" s="58" t="str">
        <f t="shared" si="77"/>
        <v/>
      </c>
    </row>
    <row r="62" ht="16.5" spans="16:47">
      <c r="Q62" s="69" t="s">
        <v>140</v>
      </c>
      <c r="R62" s="69"/>
      <c r="S62" s="58" t="e">
        <f t="shared" ref="S62:AB62" si="78">S40-S61</f>
        <v>#DIV/0!</v>
      </c>
      <c r="T62" s="58" t="e">
        <f t="shared" si="78"/>
        <v>#DIV/0!</v>
      </c>
      <c r="U62" s="58" t="e">
        <f t="shared" si="78"/>
        <v>#DIV/0!</v>
      </c>
      <c r="V62" s="58" t="e">
        <f t="shared" si="78"/>
        <v>#DIV/0!</v>
      </c>
      <c r="W62" s="58" t="e">
        <f t="shared" si="78"/>
        <v>#DIV/0!</v>
      </c>
      <c r="X62" s="58" t="e">
        <f t="shared" si="78"/>
        <v>#DIV/0!</v>
      </c>
      <c r="Y62" s="58" t="e">
        <f t="shared" si="78"/>
        <v>#DIV/0!</v>
      </c>
      <c r="Z62" s="58" t="e">
        <f t="shared" si="78"/>
        <v>#DIV/0!</v>
      </c>
      <c r="AA62" s="58" t="e">
        <f t="shared" si="78"/>
        <v>#DIV/0!</v>
      </c>
      <c r="AB62" s="58" t="e">
        <f t="shared" si="78"/>
        <v>#DIV/0!</v>
      </c>
      <c r="AC62" s="86" t="e">
        <f>AC39-AC61</f>
        <v>#DIV/0!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 t="str">
        <f>IF($E$3="纯租赁",IF(AJ38*12&lt;=$E$12,SUM($AI$61:AJ61),""),IF(AJ38*12&lt;=$E$28,SUM($AI$61:AJ61),""))</f>
        <v/>
      </c>
      <c r="AK62" s="58" t="str">
        <f>IF($E$3="纯租赁",IF(AK38*12&lt;=$E$12,SUM($AI$61:AK61),""),IF(AK38*12&lt;=$E$28,SUM($AI$61:AK61),""))</f>
        <v/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79">IF($E$3="纯租赁",S68+1,S68+1)</f>
        <v>2</v>
      </c>
      <c r="U68" s="87">
        <f t="shared" si="79"/>
        <v>3</v>
      </c>
      <c r="V68" s="87">
        <f t="shared" si="79"/>
        <v>4</v>
      </c>
      <c r="W68" s="87">
        <f t="shared" si="79"/>
        <v>5</v>
      </c>
      <c r="X68" s="87">
        <f t="shared" si="79"/>
        <v>6</v>
      </c>
      <c r="Y68" s="87">
        <f t="shared" si="79"/>
        <v>7</v>
      </c>
      <c r="Z68" s="87">
        <f t="shared" si="79"/>
        <v>8</v>
      </c>
      <c r="AA68" s="87">
        <f t="shared" si="79"/>
        <v>9</v>
      </c>
      <c r="AB68" s="87">
        <f t="shared" si="79"/>
        <v>10</v>
      </c>
      <c r="AC68" s="87">
        <f t="shared" si="79"/>
        <v>11</v>
      </c>
      <c r="AD68" s="87">
        <f t="shared" si="79"/>
        <v>12</v>
      </c>
    </row>
    <row r="69" spans="17:35">
      <c r="Q69" s="64" t="s">
        <v>13</v>
      </c>
      <c r="R69" s="35" t="s">
        <v>49</v>
      </c>
      <c r="S69" s="29" t="str" cm="1">
        <f t="array" ref="S69">IF($E$3="纯租赁",IF(S68*12&lt;=$E$12,$E$4*SUMPRODUCT($E$7:$N$7,$E$8:$N$8,$E$9:$N$9)*$E$10,""),$E$4*SUMPRODUCT($E$7:$N$7,$E$8:$N$8,$E$9:$N$9)*$E$10)</f>
        <v/>
      </c>
      <c r="T69" s="29" t="str" cm="1">
        <f t="array" ref="T69">IF($E$3="纯租赁",IF(T68*12&lt;=$E$12,$E$4*SUMPRODUCT($E$7:$N$7,$E$8:$N$8,$E$9:$N$9)*$E$10,""),$E$4*SUMPRODUCT($E$7:$N$7,$E$8:$N$8,$E$9:$N$9)*$E$10)</f>
        <v/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 t="str">
        <f t="shared" ref="S70:AD70" si="80">S69</f>
        <v/>
      </c>
      <c r="T70" s="76" t="str">
        <f t="shared" si="80"/>
        <v/>
      </c>
      <c r="U70" s="76" t="str">
        <f t="shared" si="80"/>
        <v/>
      </c>
      <c r="V70" s="76" t="str">
        <f t="shared" si="80"/>
        <v/>
      </c>
      <c r="W70" s="76" t="str">
        <f t="shared" si="80"/>
        <v/>
      </c>
      <c r="X70" s="76" t="str">
        <f t="shared" si="80"/>
        <v/>
      </c>
      <c r="Y70" s="76" t="str">
        <f t="shared" si="80"/>
        <v/>
      </c>
      <c r="Z70" s="76" t="str">
        <f t="shared" si="80"/>
        <v/>
      </c>
      <c r="AA70" s="76" t="str">
        <f t="shared" si="80"/>
        <v/>
      </c>
      <c r="AB70" s="76" t="str">
        <f t="shared" si="80"/>
        <v/>
      </c>
      <c r="AC70" s="76" t="str">
        <f t="shared" si="80"/>
        <v/>
      </c>
      <c r="AD70" s="76" t="str">
        <f t="shared" si="80"/>
        <v/>
      </c>
    </row>
    <row r="71" spans="17:35">
      <c r="Q71" s="28" t="s">
        <v>14</v>
      </c>
      <c r="R71" s="35" t="s">
        <v>79</v>
      </c>
      <c r="S71" s="29" t="str">
        <f>_xlfn.LET(_xlpm.a,$E$4*$E$13,_xlpm.b,$E$4*($E$11/MAX(36,S68*12)+$E$13),IF($E$3="纯租赁",IF(S68*12&lt;=$E$12,_xlpm.a*12,""),_xlpm.b*12))</f>
        <v/>
      </c>
      <c r="T71" s="29" t="str">
        <f>_xlfn.LET(_xlpm.a,$E$4*$E$13,_xlpm.b,$E$4*($E$11/MAX(36,T68*12)+$E$13),IF($E$3="纯租赁",IF(T68*12&lt;=$E$12,_xlpm.a*12,""),_xlpm.b*12))</f>
        <v/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 t="str">
        <f t="shared" ref="S72:AD72" si="81">IF($E$3="纯租赁",IF(S68*12&lt;=$E$12,$E$14*$E$4*12,""),$E$14*$E$4*12)</f>
        <v/>
      </c>
      <c r="T72" s="29" t="str">
        <f t="shared" si="81"/>
        <v/>
      </c>
      <c r="U72" s="29" t="str">
        <f t="shared" si="81"/>
        <v/>
      </c>
      <c r="V72" s="29" t="str">
        <f t="shared" si="81"/>
        <v/>
      </c>
      <c r="W72" s="29" t="str">
        <f t="shared" si="81"/>
        <v/>
      </c>
      <c r="X72" s="29" t="str">
        <f t="shared" si="81"/>
        <v/>
      </c>
      <c r="Y72" s="29" t="str">
        <f t="shared" si="81"/>
        <v/>
      </c>
      <c r="Z72" s="29" t="str">
        <f t="shared" si="81"/>
        <v/>
      </c>
      <c r="AA72" s="29" t="str">
        <f t="shared" si="81"/>
        <v/>
      </c>
      <c r="AB72" s="29" t="str">
        <f t="shared" si="81"/>
        <v/>
      </c>
      <c r="AC72" s="29" t="str">
        <f t="shared" si="81"/>
        <v/>
      </c>
      <c r="AD72" s="29" t="str">
        <f t="shared" si="81"/>
        <v/>
      </c>
    </row>
    <row r="73" spans="17:35">
      <c r="Q73" s="28"/>
      <c r="R73" s="35" t="s">
        <v>64</v>
      </c>
      <c r="S73" s="29" t="str">
        <f t="shared" ref="S73:AD73" si="82">IF($E$3="纯租赁",IF(S68*12&lt;=$E$12,$E$4*$E$15*12,""),$E$4*$E$15*12)</f>
        <v/>
      </c>
      <c r="T73" s="29" t="str">
        <f t="shared" si="82"/>
        <v/>
      </c>
      <c r="U73" s="29" t="str">
        <f t="shared" si="82"/>
        <v/>
      </c>
      <c r="V73" s="29" t="str">
        <f t="shared" si="82"/>
        <v/>
      </c>
      <c r="W73" s="29" t="str">
        <f t="shared" si="82"/>
        <v/>
      </c>
      <c r="X73" s="29" t="str">
        <f t="shared" si="82"/>
        <v/>
      </c>
      <c r="Y73" s="29" t="str">
        <f t="shared" si="82"/>
        <v/>
      </c>
      <c r="Z73" s="29" t="str">
        <f t="shared" si="82"/>
        <v/>
      </c>
      <c r="AA73" s="29" t="str">
        <f t="shared" si="82"/>
        <v/>
      </c>
      <c r="AB73" s="29" t="str">
        <f t="shared" si="82"/>
        <v/>
      </c>
      <c r="AC73" s="29" t="str">
        <f t="shared" si="82"/>
        <v/>
      </c>
      <c r="AD73" s="29" t="str">
        <f t="shared" si="82"/>
        <v/>
      </c>
    </row>
    <row r="74" spans="17:35">
      <c r="Q74" s="28"/>
      <c r="R74" s="35" t="s">
        <v>68</v>
      </c>
      <c r="S74" s="29" t="str">
        <f t="shared" ref="S74:AD74" si="83">IF($E$3="纯租赁",IF(S68*12&lt;=$E$12,$E$4*$E$16*12,""),$E$4*$E$16*12)</f>
        <v/>
      </c>
      <c r="T74" s="29" t="str">
        <f t="shared" si="83"/>
        <v/>
      </c>
      <c r="U74" s="29" t="str">
        <f t="shared" si="83"/>
        <v/>
      </c>
      <c r="V74" s="29" t="str">
        <f t="shared" si="83"/>
        <v/>
      </c>
      <c r="W74" s="29" t="str">
        <f t="shared" si="83"/>
        <v/>
      </c>
      <c r="X74" s="29" t="str">
        <f t="shared" si="83"/>
        <v/>
      </c>
      <c r="Y74" s="29" t="str">
        <f t="shared" si="83"/>
        <v/>
      </c>
      <c r="Z74" s="29" t="str">
        <f t="shared" si="83"/>
        <v/>
      </c>
      <c r="AA74" s="29" t="str">
        <f t="shared" si="83"/>
        <v/>
      </c>
      <c r="AB74" s="29" t="str">
        <f t="shared" si="83"/>
        <v/>
      </c>
      <c r="AC74" s="29" t="str">
        <f t="shared" si="83"/>
        <v/>
      </c>
      <c r="AD74" s="29" t="str">
        <f t="shared" si="83"/>
        <v/>
      </c>
    </row>
    <row r="75" spans="17:35">
      <c r="Q75" s="28"/>
      <c r="R75" s="35" t="s">
        <v>71</v>
      </c>
      <c r="S75" s="29" t="str">
        <f t="shared" ref="S75:AD75" si="84">IF($E$3="纯租赁",IF(S68*12&lt;=$E$12,$E$4*$E$17*12,""),$E$4*$E$17*12)</f>
        <v/>
      </c>
      <c r="T75" s="29" t="str">
        <f t="shared" si="84"/>
        <v/>
      </c>
      <c r="U75" s="29" t="str">
        <f t="shared" si="84"/>
        <v/>
      </c>
      <c r="V75" s="29" t="str">
        <f t="shared" si="84"/>
        <v/>
      </c>
      <c r="W75" s="29" t="str">
        <f t="shared" si="84"/>
        <v/>
      </c>
      <c r="X75" s="29" t="str">
        <f t="shared" si="84"/>
        <v/>
      </c>
      <c r="Y75" s="29" t="str">
        <f t="shared" si="84"/>
        <v/>
      </c>
      <c r="Z75" s="29" t="str">
        <f t="shared" si="84"/>
        <v/>
      </c>
      <c r="AA75" s="29" t="str">
        <f t="shared" si="84"/>
        <v/>
      </c>
      <c r="AB75" s="29" t="str">
        <f t="shared" si="84"/>
        <v/>
      </c>
      <c r="AC75" s="29" t="str">
        <f t="shared" si="84"/>
        <v/>
      </c>
      <c r="AD75" s="29" t="str">
        <f t="shared" si="84"/>
        <v/>
      </c>
    </row>
    <row r="76" spans="17:35">
      <c r="Q76" s="28"/>
      <c r="R76" s="35" t="s">
        <v>74</v>
      </c>
      <c r="S76" s="29" t="str">
        <f t="shared" ref="S76:AD76" si="85">IF($E$3="纯租赁",IF(S68*12&lt;=$E$12,$E$4*$E$18*12,""),$E$4*$E$18*12)</f>
        <v/>
      </c>
      <c r="T76" s="29" t="str">
        <f t="shared" si="85"/>
        <v/>
      </c>
      <c r="U76" s="29" t="str">
        <f t="shared" si="85"/>
        <v/>
      </c>
      <c r="V76" s="29" t="str">
        <f t="shared" si="85"/>
        <v/>
      </c>
      <c r="W76" s="29" t="str">
        <f t="shared" si="85"/>
        <v/>
      </c>
      <c r="X76" s="29" t="str">
        <f t="shared" si="85"/>
        <v/>
      </c>
      <c r="Y76" s="29" t="str">
        <f t="shared" si="85"/>
        <v/>
      </c>
      <c r="Z76" s="29" t="str">
        <f t="shared" si="85"/>
        <v/>
      </c>
      <c r="AA76" s="29" t="str">
        <f t="shared" si="85"/>
        <v/>
      </c>
      <c r="AB76" s="29" t="str">
        <f t="shared" si="85"/>
        <v/>
      </c>
      <c r="AC76" s="29" t="str">
        <f t="shared" si="85"/>
        <v/>
      </c>
      <c r="AD76" s="29" t="str">
        <f t="shared" si="85"/>
        <v/>
      </c>
    </row>
    <row r="77" spans="17:35">
      <c r="Q77" s="28"/>
      <c r="R77" s="35" t="s">
        <v>78</v>
      </c>
      <c r="S77" s="29" t="str">
        <f t="shared" ref="S77:AD77" si="86">IF($E$3="纯租赁",IF(S68*12&lt;=$E$12,$E$4*$E$19*12,""),$E$4*$E$19*12)</f>
        <v/>
      </c>
      <c r="T77" s="29" t="str">
        <f t="shared" si="86"/>
        <v/>
      </c>
      <c r="U77" s="29" t="str">
        <f t="shared" si="86"/>
        <v/>
      </c>
      <c r="V77" s="29" t="str">
        <f t="shared" si="86"/>
        <v/>
      </c>
      <c r="W77" s="29" t="str">
        <f t="shared" si="86"/>
        <v/>
      </c>
      <c r="X77" s="29" t="str">
        <f t="shared" si="86"/>
        <v/>
      </c>
      <c r="Y77" s="29" t="str">
        <f t="shared" si="86"/>
        <v/>
      </c>
      <c r="Z77" s="29" t="str">
        <f t="shared" si="86"/>
        <v/>
      </c>
      <c r="AA77" s="29" t="str">
        <f t="shared" si="86"/>
        <v/>
      </c>
      <c r="AB77" s="29" t="str">
        <f t="shared" si="86"/>
        <v/>
      </c>
      <c r="AC77" s="29" t="str">
        <f t="shared" si="86"/>
        <v/>
      </c>
      <c r="AD77" s="29" t="str">
        <f t="shared" si="86"/>
        <v/>
      </c>
    </row>
    <row r="78" spans="17:35">
      <c r="Q78" s="28"/>
      <c r="R78" s="35" t="s">
        <v>82</v>
      </c>
      <c r="S78" s="29" t="str">
        <f t="shared" ref="S78:AD78" si="87">IF($E$3="纯租赁",IF(S68*12&lt;=$E$12,$E$4*$E$20*12,""),$E$4*$E$20*12)</f>
        <v/>
      </c>
      <c r="T78" s="29" t="str">
        <f t="shared" si="87"/>
        <v/>
      </c>
      <c r="U78" s="29" t="str">
        <f t="shared" si="87"/>
        <v/>
      </c>
      <c r="V78" s="29" t="str">
        <f t="shared" si="87"/>
        <v/>
      </c>
      <c r="W78" s="29" t="str">
        <f t="shared" si="87"/>
        <v/>
      </c>
      <c r="X78" s="29" t="str">
        <f t="shared" si="87"/>
        <v/>
      </c>
      <c r="Y78" s="29" t="str">
        <f t="shared" si="87"/>
        <v/>
      </c>
      <c r="Z78" s="29" t="str">
        <f t="shared" si="87"/>
        <v/>
      </c>
      <c r="AA78" s="29" t="str">
        <f t="shared" si="87"/>
        <v/>
      </c>
      <c r="AB78" s="29" t="str">
        <f t="shared" si="87"/>
        <v/>
      </c>
      <c r="AC78" s="29" t="str">
        <f t="shared" si="87"/>
        <v/>
      </c>
      <c r="AD78" s="29" t="str">
        <f t="shared" si="87"/>
        <v/>
      </c>
    </row>
    <row r="79" spans="17:35">
      <c r="Q79" s="28"/>
      <c r="R79" s="23" t="s">
        <v>85</v>
      </c>
      <c r="S79" s="24" t="str">
        <f t="shared" ref="S79:AD79" si="88">IF($E$3="纯租赁",IF(S68*12&lt;=$E$12,$E$4*$E$21*12,""),$E$4*$E$21*12)</f>
        <v/>
      </c>
      <c r="T79" s="24" t="str">
        <f t="shared" si="88"/>
        <v/>
      </c>
      <c r="U79" s="24" t="str">
        <f t="shared" si="88"/>
        <v/>
      </c>
      <c r="V79" s="24" t="str">
        <f t="shared" si="88"/>
        <v/>
      </c>
      <c r="W79" s="24" t="str">
        <f t="shared" si="88"/>
        <v/>
      </c>
      <c r="X79" s="24" t="str">
        <f t="shared" si="88"/>
        <v/>
      </c>
      <c r="Y79" s="24" t="str">
        <f t="shared" si="88"/>
        <v/>
      </c>
      <c r="Z79" s="24" t="str">
        <f t="shared" si="88"/>
        <v/>
      </c>
      <c r="AA79" s="24" t="str">
        <f t="shared" si="88"/>
        <v/>
      </c>
      <c r="AB79" s="24" t="str">
        <f t="shared" si="88"/>
        <v/>
      </c>
      <c r="AC79" s="24" t="str">
        <f t="shared" si="88"/>
        <v/>
      </c>
      <c r="AD79" s="24" t="str">
        <f t="shared" si="88"/>
        <v/>
      </c>
    </row>
    <row r="80" spans="17:35">
      <c r="Q80" s="53" t="s">
        <v>15</v>
      </c>
      <c r="R80" s="35" t="s">
        <v>88</v>
      </c>
      <c r="S80" s="29" t="str" cm="1">
        <f t="array" ref="S80">IF($E$3="纯租赁",IF(S68*12&lt;=$E$12,$E$4*SUMPRODUCT($E$9:$N$9,$E$22:$N$22)*$E$10,""),$E$4*SUMPRODUCT($E$9:$N$9,$E$22:$N$22)*$E$10)</f>
        <v/>
      </c>
      <c r="T80" s="29" t="str" cm="1">
        <f t="array" ref="T80">IF($E$3="纯租赁",IF(T68*12&lt;=$E$12,$E$4*SUMPRODUCT($E$9:$N$9,$E$22:$N$22)*$E$10,""),$E$4*SUMPRODUCT($E$9:$N$9,$E$22:$N$22)*$E$10)</f>
        <v/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t="str" cm="1">
        <f t="array" ref="S81">IF($E$3="纯租赁",IF(S68*12&lt;=$E$12,$E$4*SUMPRODUCT($E$9:$N$9,$E$23:$N$23)*$E$10,""),$E$4*SUMPRODUCT($E$9:$N$9,$E$23:$N$23)*$E$10)</f>
        <v/>
      </c>
      <c r="T81" s="29" t="str" cm="1">
        <f t="array" ref="T81">IF($E$3="纯租赁",IF(T68*12&lt;=$E$12,$E$4*SUMPRODUCT($E$9:$N$9,$E$23:$N$23)*$E$10,""),$E$4*SUMPRODUCT($E$9:$N$9,$E$23:$N$23)*$E$10)</f>
        <v/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t="str" cm="1">
        <f t="array" ref="S82">IF($E$3="纯租赁",IF(S68*12&lt;=$E$12,$E$4*$E$10*SUMPRODUCT($E$9:$N$9,$E$24:$N$24),""),$E$4*$E$10*SUMPRODUCT($E$9:$N$9,$E$24:$N$24))</f>
        <v/>
      </c>
      <c r="T82" s="29" t="str" cm="1">
        <f t="array" ref="T82">IF($E$3="纯租赁",IF(T68*12&lt;=$E$12,$E$4*$E$10*SUMPRODUCT($E$9:$N$9,$E$24:$N$24),""),$E$4*$E$10*SUMPRODUCT($E$9:$N$9,$E$24:$N$24))</f>
        <v/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t="str" cm="1">
        <f t="array" ref="S83">IF($E$3="纯租赁",IF(S68*12&lt;=$E$12,$E$4*$E$10*SUMPRODUCT($E$25:$N$25,$E$9:$N$9),""),$E$4*$E$10*SUMPRODUCT($E$25:$N$25,$E$9:$N$9))</f>
        <v/>
      </c>
      <c r="T83" s="29" t="str" cm="1">
        <f t="array" ref="T83">IF($E$3="纯租赁",IF(T68*12&lt;=$E$12,$E$4*$E$10*SUMPRODUCT($E$25:$N$25,$E$9:$N$9),""),$E$4*$E$10*SUMPRODUCT($E$25:$N$25,$E$9:$N$9))</f>
        <v/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t="str" cm="1">
        <f t="array" ref="S84">IF($E$3="纯租赁",IF(S68*12&lt;=$E$12,$E$4*$E$5*$E$10*SUMPRODUCT(IF($E$8:$N$8,$E$32,$E$33),$E$6:$N$6,$E$9:$N$9),""),$E$4*$E$5*$E$10*SUMPRODUCT(IF($E$8:$N$8,$E$32,$E$33),$E$6:$N$6,$E$9:$N$9))</f>
        <v/>
      </c>
      <c r="T84" s="29" t="str" cm="1">
        <f t="array" ref="T84">IF($E$3="纯租赁",IF(T68*12&lt;=$E$12,$E$4*$E$5*$E$10*SUMPRODUCT(IF($E$8:$N$8,$E$32,$E$33),$E$6:$N$6,$E$9:$N$9),""),$E$4*$E$5*$E$10*SUMPRODUCT(IF($E$8:$N$8,$E$32,$E$33),$E$6:$N$6,$E$9:$N$9))</f>
        <v/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t="str" cm="1">
        <f t="array" ref="S85">IF($E$3="纯租赁",IF(S68*12&lt;=$E$12,SUMPRODUCT($E$6:$N$6,$E$9:$N$9)*$E$10/$E$29*$E$30*$E$4*$E$31,""),SUMPRODUCT($E$6:$N$6,$E$9:$N$9)*$E$10/$E$29*$E$30*$E$4*$E$31)</f>
        <v/>
      </c>
      <c r="T85" s="24" t="str" cm="1">
        <f t="array" ref="T85">IF($E$3="纯租赁",IF(T68*12&lt;=$E$12,SUMPRODUCT($E$6:$N$6,$E$9:$N$9)*$E$10/$E$29*$E$30*$E$4*$E$31,""),SUMPRODUCT($E$6:$N$6,$E$9:$N$9)*$E$10/$E$29*$E$30*$E$4*$E$31)</f>
        <v/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 t="str">
        <f t="shared" ref="S86:AD86" si="89">IFERROR(S69*$E$34/12*$E$26,"")</f>
        <v/>
      </c>
      <c r="T86" s="29" t="str">
        <f t="shared" si="89"/>
        <v/>
      </c>
      <c r="U86" s="29" t="str">
        <f t="shared" si="89"/>
        <v/>
      </c>
      <c r="V86" s="29" t="str">
        <f t="shared" si="89"/>
        <v/>
      </c>
      <c r="W86" s="29" t="str">
        <f t="shared" si="89"/>
        <v/>
      </c>
      <c r="X86" s="29" t="str">
        <f t="shared" si="89"/>
        <v/>
      </c>
      <c r="Y86" s="29" t="str">
        <f t="shared" si="89"/>
        <v/>
      </c>
      <c r="Z86" s="29" t="str">
        <f t="shared" si="89"/>
        <v/>
      </c>
      <c r="AA86" s="29" t="str">
        <f t="shared" si="89"/>
        <v/>
      </c>
      <c r="AB86" s="29" t="str">
        <f t="shared" si="89"/>
        <v/>
      </c>
      <c r="AC86" s="29" t="str">
        <f t="shared" si="89"/>
        <v/>
      </c>
      <c r="AD86" s="29" t="str">
        <f t="shared" si="89"/>
        <v/>
      </c>
    </row>
    <row r="87" spans="17:30">
      <c r="Q87" s="64"/>
      <c r="R87" s="35" t="s">
        <v>109</v>
      </c>
      <c r="S87" s="29" t="str">
        <f t="shared" ref="S87:AD87" si="90">IF($E$3="纯租赁",IF(S68*12&lt;=$E$12,($E$4*$E$13*12+SUM(S72:S85))*$E$35/12*$E$27,""),($E$4*$E$13*12+SUM(S72:S85))*$E$35/12*$E$27)</f>
        <v/>
      </c>
      <c r="T87" s="29" t="str">
        <f t="shared" si="90"/>
        <v/>
      </c>
      <c r="U87" s="29" t="str">
        <f t="shared" si="90"/>
        <v/>
      </c>
      <c r="V87" s="29" t="str">
        <f t="shared" si="90"/>
        <v/>
      </c>
      <c r="W87" s="29" t="str">
        <f t="shared" si="90"/>
        <v/>
      </c>
      <c r="X87" s="29" t="str">
        <f t="shared" si="90"/>
        <v/>
      </c>
      <c r="Y87" s="29" t="str">
        <f t="shared" si="90"/>
        <v/>
      </c>
      <c r="Z87" s="29" t="str">
        <f t="shared" si="90"/>
        <v/>
      </c>
      <c r="AA87" s="29" t="str">
        <f t="shared" si="90"/>
        <v/>
      </c>
      <c r="AB87" s="29" t="str">
        <f t="shared" si="90"/>
        <v/>
      </c>
      <c r="AC87" s="29" t="str">
        <f t="shared" si="90"/>
        <v/>
      </c>
      <c r="AD87" s="29" t="str">
        <f t="shared" si="90"/>
        <v/>
      </c>
    </row>
    <row r="88" spans="17:30">
      <c r="Q88" s="53" t="s">
        <v>17</v>
      </c>
      <c r="R88" s="65" t="s">
        <v>112</v>
      </c>
      <c r="S88" s="55" t="str">
        <f t="shared" ref="S88:AD88" si="91">IFERROR(S69*0.09/1.09,"")</f>
        <v/>
      </c>
      <c r="T88" s="55" t="str">
        <f t="shared" si="91"/>
        <v/>
      </c>
      <c r="U88" s="55" t="str">
        <f t="shared" si="91"/>
        <v/>
      </c>
      <c r="V88" s="55" t="str">
        <f t="shared" si="91"/>
        <v/>
      </c>
      <c r="W88" s="55" t="str">
        <f t="shared" si="91"/>
        <v/>
      </c>
      <c r="X88" s="55" t="str">
        <f t="shared" si="91"/>
        <v/>
      </c>
      <c r="Y88" s="55" t="str">
        <f t="shared" si="91"/>
        <v/>
      </c>
      <c r="Z88" s="55" t="str">
        <f t="shared" si="91"/>
        <v/>
      </c>
      <c r="AA88" s="55" t="str">
        <f t="shared" si="91"/>
        <v/>
      </c>
      <c r="AB88" s="55" t="str">
        <f t="shared" si="91"/>
        <v/>
      </c>
      <c r="AC88" s="55" t="str">
        <f t="shared" si="91"/>
        <v/>
      </c>
      <c r="AD88" s="55" t="str">
        <f t="shared" si="91"/>
        <v/>
      </c>
    </row>
    <row r="89" spans="17:30">
      <c r="Q89" s="64"/>
      <c r="R89" s="66" t="s">
        <v>115</v>
      </c>
      <c r="S89" s="57" t="str">
        <f t="shared" ref="S89:AD89" si="92">IFERROR((S71+S84+S85)*0.13/1.13+S76*0.06/1.06,"")</f>
        <v/>
      </c>
      <c r="T89" s="57" t="str">
        <f t="shared" si="92"/>
        <v/>
      </c>
      <c r="U89" s="57" t="str">
        <f t="shared" si="92"/>
        <v/>
      </c>
      <c r="V89" s="57" t="str">
        <f t="shared" si="92"/>
        <v/>
      </c>
      <c r="W89" s="57" t="str">
        <f t="shared" si="92"/>
        <v/>
      </c>
      <c r="X89" s="57" t="str">
        <f t="shared" si="92"/>
        <v/>
      </c>
      <c r="Y89" s="57" t="str">
        <f t="shared" si="92"/>
        <v/>
      </c>
      <c r="Z89" s="57" t="str">
        <f t="shared" si="92"/>
        <v/>
      </c>
      <c r="AA89" s="57" t="str">
        <f t="shared" si="92"/>
        <v/>
      </c>
      <c r="AB89" s="57" t="str">
        <f t="shared" si="92"/>
        <v/>
      </c>
      <c r="AC89" s="57" t="str">
        <f t="shared" si="92"/>
        <v/>
      </c>
      <c r="AD89" s="57" t="str">
        <f t="shared" si="92"/>
        <v/>
      </c>
    </row>
    <row r="90" spans="17:30">
      <c r="Q90" s="22"/>
      <c r="R90" s="23" t="s">
        <v>118</v>
      </c>
      <c r="S90" s="24" t="str">
        <f t="shared" ref="S90:AD90" si="93">IFERROR(MAX(0,S88-S89),"")</f>
        <v/>
      </c>
      <c r="T90" s="24" t="str">
        <f t="shared" si="93"/>
        <v/>
      </c>
      <c r="U90" s="24" t="str">
        <f t="shared" si="93"/>
        <v/>
      </c>
      <c r="V90" s="24" t="str">
        <f t="shared" si="93"/>
        <v/>
      </c>
      <c r="W90" s="24" t="str">
        <f t="shared" si="93"/>
        <v/>
      </c>
      <c r="X90" s="24" t="str">
        <f t="shared" si="93"/>
        <v/>
      </c>
      <c r="Y90" s="24" t="str">
        <f t="shared" si="93"/>
        <v/>
      </c>
      <c r="Z90" s="24" t="str">
        <f t="shared" si="93"/>
        <v/>
      </c>
      <c r="AA90" s="24" t="str">
        <f t="shared" si="93"/>
        <v/>
      </c>
      <c r="AB90" s="24" t="str">
        <f t="shared" si="93"/>
        <v/>
      </c>
      <c r="AC90" s="24" t="str">
        <f t="shared" si="93"/>
        <v/>
      </c>
      <c r="AD90" s="24" t="str">
        <f t="shared" si="93"/>
        <v/>
      </c>
    </row>
    <row r="91" ht="16.5" spans="17:30">
      <c r="Q91" s="44" t="s">
        <v>138</v>
      </c>
      <c r="R91" s="44"/>
      <c r="S91" s="76" t="str">
        <f t="shared" ref="S91:AD91" si="94">IFERROR(SUM(S71:S87)+S90,"")</f>
        <v/>
      </c>
      <c r="T91" s="76" t="str">
        <f t="shared" si="94"/>
        <v/>
      </c>
      <c r="U91" s="76" t="str">
        <f t="shared" si="94"/>
        <v/>
      </c>
      <c r="V91" s="76" t="str">
        <f t="shared" si="94"/>
        <v/>
      </c>
      <c r="W91" s="76" t="str">
        <f t="shared" si="94"/>
        <v/>
      </c>
      <c r="X91" s="76" t="str">
        <f t="shared" si="94"/>
        <v/>
      </c>
      <c r="Y91" s="76" t="str">
        <f t="shared" si="94"/>
        <v/>
      </c>
      <c r="Z91" s="76" t="str">
        <f t="shared" si="94"/>
        <v/>
      </c>
      <c r="AA91" s="76" t="str">
        <f t="shared" si="94"/>
        <v/>
      </c>
      <c r="AB91" s="76" t="str">
        <f t="shared" si="94"/>
        <v/>
      </c>
      <c r="AC91" s="76" t="str">
        <f t="shared" si="94"/>
        <v/>
      </c>
      <c r="AD91" s="76" t="str">
        <f t="shared" si="94"/>
        <v/>
      </c>
    </row>
    <row r="92" ht="16.5" spans="17:30">
      <c r="Q92" s="69" t="s">
        <v>140</v>
      </c>
      <c r="R92" s="69"/>
      <c r="S92" s="58" t="str">
        <f t="shared" ref="S92:AD92" si="95">IFERROR(S69-S91,"")</f>
        <v/>
      </c>
      <c r="T92" s="58" t="str">
        <f t="shared" si="95"/>
        <v/>
      </c>
      <c r="U92" s="58" t="str">
        <f t="shared" si="95"/>
        <v/>
      </c>
      <c r="V92" s="58" t="str">
        <f t="shared" si="95"/>
        <v/>
      </c>
      <c r="W92" s="58" t="str">
        <f t="shared" si="95"/>
        <v/>
      </c>
      <c r="X92" s="58" t="str">
        <f t="shared" si="95"/>
        <v/>
      </c>
      <c r="Y92" s="58" t="str">
        <f t="shared" si="95"/>
        <v/>
      </c>
      <c r="Z92" s="58" t="str">
        <f t="shared" si="95"/>
        <v/>
      </c>
      <c r="AA92" s="58" t="str">
        <f t="shared" si="95"/>
        <v/>
      </c>
      <c r="AB92" s="58" t="str">
        <f t="shared" si="95"/>
        <v/>
      </c>
      <c r="AC92" s="58" t="str">
        <f t="shared" si="95"/>
        <v/>
      </c>
      <c r="AD92" s="58" t="str">
        <f t="shared" si="95"/>
        <v/>
      </c>
    </row>
    <row r="93" spans="17:30">
      <c r="Q93" s="1" t="s">
        <v>133</v>
      </c>
    </row>
  </sheetData>
  <sheetProtection formatCells="0" formatColumns="0" formatRows="0"/>
  <protectedRanges>
    <protectedRange sqref="E2:N35 Q3:Q12 Q18:Q27 S38:AB38 AX3:AX7 AZ3:AZ7" name="区域1"/>
  </protectedRanges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3"/>
  <sheetViews>
    <sheetView showGridLines="0" topLeftCell="E38" workbookViewId="0">
      <selection activeCell="AD58" sqref="AD58:AD60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9" width="10" style="1" customWidth="1"/>
    <col min="10" max="13" width="10" style="1" hidden="1" customWidth="1"/>
    <col min="14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X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8" t="s">
        <v>20</v>
      </c>
      <c r="F2" s="88" t="s">
        <v>22</v>
      </c>
      <c r="G2" s="88" t="s">
        <v>24</v>
      </c>
      <c r="H2" s="88" t="s">
        <v>25</v>
      </c>
      <c r="I2" s="88" t="s">
        <v>26</v>
      </c>
      <c r="J2" s="88" t="s">
        <v>27</v>
      </c>
      <c r="K2" s="88" t="s">
        <v>28</v>
      </c>
      <c r="L2" s="88" t="s">
        <v>29</v>
      </c>
      <c r="M2" s="88" t="s">
        <v>30</v>
      </c>
      <c r="N2" s="8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89" t="s">
        <v>48</v>
      </c>
      <c r="F3" s="89"/>
      <c r="G3" s="89"/>
      <c r="H3" s="89"/>
      <c r="I3" s="89"/>
      <c r="J3" s="89"/>
      <c r="K3" s="89"/>
      <c r="L3" s="89"/>
      <c r="M3" s="89"/>
      <c r="N3" s="89"/>
      <c r="Q3" s="90" t="s">
        <v>20</v>
      </c>
      <c r="R3" s="20" t="e">
        <f t="shared" ref="R3:W3" si="0">R18/$E$4</f>
        <v>#DIV/0!</v>
      </c>
      <c r="S3" s="20" t="e">
        <f t="shared" si="0"/>
        <v>#DIV/0!</v>
      </c>
      <c r="T3" s="20" t="e">
        <f t="shared" si="0"/>
        <v>#DIV/0!</v>
      </c>
      <c r="U3" s="20" t="e">
        <f t="shared" si="0"/>
        <v>#DIV/0!</v>
      </c>
      <c r="V3" s="20" t="e">
        <f t="shared" si="0"/>
        <v>#DIV/0!</v>
      </c>
      <c r="W3" s="20" t="e">
        <f t="shared" si="0"/>
        <v>#DIV/0!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0</v>
      </c>
      <c r="AK3" s="24" cm="1">
        <f t="array" ref="AK3">IF(AK2&lt;=$E$10,$E$4*SUMPRODUCT($E$7:$N$7,$E$8:$N$8,$E$9:$N$9),0)</f>
        <v>0</v>
      </c>
      <c r="AL3" s="24" cm="1">
        <f t="array" ref="AL3">IF(AL2&lt;=$E$10,$E$4*SUMPRODUCT($E$7:$N$7,$E$8:$N$8,$E$9:$N$9),0)</f>
        <v>0</v>
      </c>
      <c r="AM3" s="24" cm="1">
        <f t="array" ref="AM3">IF(AM2&lt;=$E$10,$E$4*SUMPRODUCT($E$7:$N$7,$E$8:$N$8,$E$9:$N$9),0)</f>
        <v>0</v>
      </c>
      <c r="AN3" s="24" cm="1">
        <f t="array" ref="AN3">IF(AN2&lt;=$E$10,$E$4*SUMPRODUCT($E$7:$N$7,$E$8:$N$8,$E$9:$N$9),0)</f>
        <v>0</v>
      </c>
      <c r="AO3" s="24" cm="1">
        <f t="array" ref="AO3">IF(AO2&lt;=$E$10,$E$4*SUMPRODUCT($E$7:$N$7,$E$8:$N$8,$E$9:$N$9),0)</f>
        <v>0</v>
      </c>
      <c r="AP3" s="24" cm="1">
        <f t="array" ref="AP3">IF(AP2&lt;=$E$10,$E$4*SUMPRODUCT($E$7:$N$7,$E$8:$N$8,$E$9:$N$9),0)</f>
        <v>0</v>
      </c>
      <c r="AQ3" s="24" cm="1">
        <f t="array" ref="AQ3">IF(AQ2&lt;=$E$10,$E$4*SUMPRODUCT($E$7:$N$7,$E$8:$N$8,$E$9:$N$9),0)</f>
        <v>0</v>
      </c>
      <c r="AR3" s="24" cm="1">
        <f t="array" ref="AR3">IF(AR2&lt;=$E$10,$E$4*SUMPRODUCT($E$7:$N$7,$E$8:$N$8,$E$9:$N$9),0)</f>
        <v>0</v>
      </c>
      <c r="AS3" s="24" cm="1">
        <f t="array" ref="AS3">IF(AS2&lt;=$E$10,$E$4*SUMPRODUCT($E$7:$N$7,$E$8:$N$8,$E$9:$N$9),0)</f>
        <v>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91" t="s">
        <v>50</v>
      </c>
      <c r="AY3" s="1" t="s">
        <v>51</v>
      </c>
      <c r="AZ3" s="92">
        <v>0.02</v>
      </c>
      <c r="BA3" s="2">
        <f t="shared" ref="BA3:BE3" si="1">IF($AX3="✔",$BF3+BA$2*$AZ3,$BF3)</f>
        <v>-0.1</v>
      </c>
      <c r="BB3" s="2">
        <f t="shared" si="1"/>
        <v>-0.08</v>
      </c>
      <c r="BC3" s="2">
        <f t="shared" si="1"/>
        <v>-0.06</v>
      </c>
      <c r="BD3" s="2">
        <f t="shared" si="1"/>
        <v>-0.04</v>
      </c>
      <c r="BE3" s="2">
        <f t="shared" si="1"/>
        <v>-0.02</v>
      </c>
      <c r="BF3" s="2">
        <f>$E$5</f>
        <v>0</v>
      </c>
      <c r="BG3" s="2">
        <f t="shared" ref="BG3:BK3" si="2">IF($AX3="✔",$BF3+BG$2*$AZ3,$BF3)</f>
        <v>0.02</v>
      </c>
      <c r="BH3" s="2">
        <f t="shared" si="2"/>
        <v>0.04</v>
      </c>
      <c r="BI3" s="2">
        <f t="shared" si="2"/>
        <v>0.06</v>
      </c>
      <c r="BJ3" s="2">
        <f t="shared" si="2"/>
        <v>0.08</v>
      </c>
      <c r="BK3" s="2">
        <f t="shared" si="2"/>
        <v>0.1</v>
      </c>
    </row>
    <row r="4" s="1" customFormat="1" spans="1:63">
      <c r="A4" s="15"/>
      <c r="B4" s="16" t="s">
        <v>52</v>
      </c>
      <c r="C4" s="17" t="s">
        <v>53</v>
      </c>
      <c r="D4" s="17"/>
      <c r="E4" s="93"/>
      <c r="F4" s="93"/>
      <c r="G4" s="93"/>
      <c r="H4" s="93"/>
      <c r="I4" s="93"/>
      <c r="J4" s="93"/>
      <c r="K4" s="93"/>
      <c r="L4" s="93"/>
      <c r="M4" s="93"/>
      <c r="N4" s="93"/>
      <c r="Q4" s="90" t="s">
        <v>22</v>
      </c>
      <c r="R4" s="20" t="e">
        <f t="shared" ref="R4:W4" si="3">R19/$E$4</f>
        <v>#DIV/0!</v>
      </c>
      <c r="S4" s="20" t="e">
        <f t="shared" si="3"/>
        <v>#DIV/0!</v>
      </c>
      <c r="T4" s="20" t="e">
        <f t="shared" si="3"/>
        <v>#DIV/0!</v>
      </c>
      <c r="U4" s="20" t="e">
        <f t="shared" si="3"/>
        <v>#DIV/0!</v>
      </c>
      <c r="V4" s="20" t="e">
        <f t="shared" si="3"/>
        <v>#DIV/0!</v>
      </c>
      <c r="W4" s="20" t="e">
        <f t="shared" si="3"/>
        <v>#DIV/0!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91"/>
      <c r="AY4" s="1" t="s">
        <v>55</v>
      </c>
      <c r="AZ4" s="92">
        <v>2</v>
      </c>
      <c r="BA4" s="30" t="str" cm="1">
        <f t="array" ref="BA4">IF($AX4="✔",_xlfn.TEXTJOIN(",",TRUE,IF($E$7:$N$7&lt;&gt;"",$E$2:$N$2&amp;":"&amp;$E$7:$N$7+BA$2*$AZ4,"")),$BF$4)</f>
        <v/>
      </c>
      <c r="BB4" s="30" t="str" cm="1">
        <f t="array" ref="BB4">IF($AX4="✔",_xlfn.TEXTJOIN(",",TRUE,IF($E$7:$N$7&lt;&gt;"",$E$2:$N$2&amp;":"&amp;$E$7:$N$7+BB$2*$AZ4,"")),$BF$4)</f>
        <v/>
      </c>
      <c r="BC4" s="30" t="str" cm="1">
        <f t="array" ref="BC4">IF($AX4="✔",_xlfn.TEXTJOIN(",",TRUE,IF($E$7:$N$7&lt;&gt;"",$E$2:$N$2&amp;":"&amp;$E$7:$N$7+BC$2*$AZ4,"")),$BF$4)</f>
        <v/>
      </c>
      <c r="BD4" s="30" t="str" cm="1">
        <f t="array" ref="BD4">IF($AX4="✔",_xlfn.TEXTJOIN(",",TRUE,IF($E$7:$N$7&lt;&gt;"",$E$2:$N$2&amp;":"&amp;$E$7:$N$7+BD$2*$AZ4,"")),$BF$4)</f>
        <v/>
      </c>
      <c r="BE4" s="30" t="str" cm="1">
        <f t="array" ref="BE4">IF($AX4="✔",_xlfn.TEXTJOIN(",",TRUE,IF($E$7:$N$7&lt;&gt;"",$E$2:$N$2&amp;":"&amp;$E$7:$N$7+BE$2*$AZ4,"")),$BF$4)</f>
        <v/>
      </c>
      <c r="BF4" s="31" t="str" cm="1">
        <f t="array" ref="BF4">_xlfn.TEXTJOIN(", ",TRUE,IF($E$7:$N$7&lt;&gt;"",$E$2:$N$2&amp;":"&amp;$E$7:$N$7,""))</f>
        <v/>
      </c>
      <c r="BG4" s="30" t="str" cm="1">
        <f t="array" ref="BG4">IF($AX4="✔",_xlfn.TEXTJOIN(",",TRUE,IF($E$7:$N$7&lt;&gt;"",$E$2:$N$2&amp;":"&amp;$E$7:$N$7+BG$2*$AZ4,"")),$BF$4)</f>
        <v/>
      </c>
      <c r="BH4" s="30" t="str" cm="1">
        <f t="array" ref="BH4">IF($AX4="✔",_xlfn.TEXTJOIN(",",TRUE,IF($E$7:$N$7&lt;&gt;"",$E$2:$N$2&amp;":"&amp;$E$7:$N$7+BH$2*$AZ4,"")),$BF$4)</f>
        <v/>
      </c>
      <c r="BI4" s="30" t="str" cm="1">
        <f t="array" ref="BI4">IF($AX4="✔",_xlfn.TEXTJOIN(",",TRUE,IF($E$7:$N$7&lt;&gt;"",$E$2:$N$2&amp;":"&amp;$E$7:$N$7+BI$2*$AZ4,"")),$BF$4)</f>
        <v/>
      </c>
      <c r="BJ4" s="30" t="str" cm="1">
        <f t="array" ref="BJ4">IF($AX4="✔",_xlfn.TEXTJOIN(",",TRUE,IF($E$7:$N$7&lt;&gt;"",$E$2:$N$2&amp;":"&amp;$E$7:$N$7+BJ$2*$AZ4,"")),$BF$4)</f>
        <v/>
      </c>
      <c r="BK4" s="30" t="str" cm="1">
        <f t="array" ref="BK4">IF($AX4="✔",_xlfn.TEXTJOIN(",",TRUE,IF($E$7:$N$7&lt;&gt;"",$E$2:$N$2&amp;":"&amp;$E$7:$N$7+BK$2*$AZ4,"")),$BF$4)</f>
        <v/>
      </c>
    </row>
    <row r="5" s="1" customFormat="1" ht="16.5" spans="1:63">
      <c r="A5" s="15"/>
      <c r="B5" s="16" t="s">
        <v>51</v>
      </c>
      <c r="C5" s="17" t="s">
        <v>56</v>
      </c>
      <c r="D5" s="17"/>
      <c r="E5" s="94"/>
      <c r="F5" s="94"/>
      <c r="G5" s="94"/>
      <c r="H5" s="94"/>
      <c r="I5" s="94"/>
      <c r="J5" s="94"/>
      <c r="K5" s="94"/>
      <c r="L5" s="94"/>
      <c r="M5" s="94"/>
      <c r="N5" s="94"/>
      <c r="Q5" s="90" t="s">
        <v>24</v>
      </c>
      <c r="R5" s="20" t="e">
        <f t="shared" ref="R5:W5" si="4">R20/$E$4</f>
        <v>#DIV/0!</v>
      </c>
      <c r="S5" s="20" t="e">
        <f t="shared" si="4"/>
        <v>#DIV/0!</v>
      </c>
      <c r="T5" s="20" t="e">
        <f t="shared" si="4"/>
        <v>#DIV/0!</v>
      </c>
      <c r="U5" s="20" t="e">
        <f t="shared" si="4"/>
        <v>#DIV/0!</v>
      </c>
      <c r="V5" s="20" t="e">
        <f t="shared" si="4"/>
        <v>#DIV/0!</v>
      </c>
      <c r="W5" s="20" t="e">
        <f t="shared" si="4"/>
        <v>#DIV/0!</v>
      </c>
      <c r="AE5" s="33"/>
      <c r="AF5" s="34"/>
      <c r="AG5" s="28"/>
      <c r="AH5" s="1" t="s">
        <v>57</v>
      </c>
      <c r="AI5" s="35"/>
      <c r="AJ5" s="29">
        <f t="shared" ref="AJ5:AU5" si="5">IF(AJ2&lt;=$E$12,$E$4*$E$13,0)</f>
        <v>0</v>
      </c>
      <c r="AK5" s="29">
        <f t="shared" si="5"/>
        <v>0</v>
      </c>
      <c r="AL5" s="29">
        <f t="shared" si="5"/>
        <v>0</v>
      </c>
      <c r="AM5" s="29">
        <f t="shared" si="5"/>
        <v>0</v>
      </c>
      <c r="AN5" s="29">
        <f t="shared" si="5"/>
        <v>0</v>
      </c>
      <c r="AO5" s="29">
        <f t="shared" si="5"/>
        <v>0</v>
      </c>
      <c r="AP5" s="29">
        <f t="shared" si="5"/>
        <v>0</v>
      </c>
      <c r="AQ5" s="29">
        <f t="shared" si="5"/>
        <v>0</v>
      </c>
      <c r="AR5" s="29">
        <f t="shared" si="5"/>
        <v>0</v>
      </c>
      <c r="AS5" s="29">
        <f t="shared" si="5"/>
        <v>0</v>
      </c>
      <c r="AT5" s="29">
        <f t="shared" si="5"/>
        <v>0</v>
      </c>
      <c r="AU5" s="29">
        <f t="shared" si="5"/>
        <v>0</v>
      </c>
      <c r="AX5" s="91"/>
      <c r="AY5" s="1" t="s">
        <v>58</v>
      </c>
      <c r="AZ5" s="92">
        <v>1</v>
      </c>
      <c r="BA5" s="30" t="str" cm="1">
        <f t="array" ref="BA5">IF($AX5="✔",_xlfn.TEXTJOIN(",",TRUE,IF($E$9:$N$9&lt;&gt;"",$E$2:$N$2&amp;":"&amp;$E$9:$N$9+BA$2*$AZ5,"")),$BF$5)</f>
        <v/>
      </c>
      <c r="BB5" s="30" t="str" cm="1">
        <f t="array" ref="BB5">IF($AX5="✔",_xlfn.TEXTJOIN(",",TRUE,IF($E$9:$N$9&lt;&gt;"",$E$2:$N$2&amp;":"&amp;$E$9:$N$9+BB$2*$AZ5,"")),$BF$5)</f>
        <v/>
      </c>
      <c r="BC5" s="30" t="str" cm="1">
        <f t="array" ref="BC5">IF($AX5="✔",_xlfn.TEXTJOIN(",",TRUE,IF($E$9:$N$9&lt;&gt;"",$E$2:$N$2&amp;":"&amp;$E$9:$N$9+BC$2*$AZ5,"")),$BF$5)</f>
        <v/>
      </c>
      <c r="BD5" s="30" t="str" cm="1">
        <f t="array" ref="BD5">IF($AX5="✔",_xlfn.TEXTJOIN(",",TRUE,IF($E$9:$N$9&lt;&gt;"",$E$2:$N$2&amp;":"&amp;$E$9:$N$9+BD$2*$AZ5,"")),$BF$5)</f>
        <v/>
      </c>
      <c r="BE5" s="30" t="str" cm="1">
        <f t="array" ref="BE5">IF($AX5="✔",_xlfn.TEXTJOIN(",",TRUE,IF($E$9:$N$9&lt;&gt;"",$E$2:$N$2&amp;":"&amp;$E$9:$N$9+BE$2*$AZ5,"")),$BF$5)</f>
        <v/>
      </c>
      <c r="BF5" s="31" t="str" cm="1">
        <f t="array" ref="BF5">_xlfn.TEXTJOIN(", ",TRUE,IF($E$9:$N$9&lt;&gt;"",$E$2:$N$2&amp;":"&amp;$E$9:$N$9,""))</f>
        <v/>
      </c>
      <c r="BG5" s="30" t="str" cm="1">
        <f t="array" ref="BG5">IF($AX5="✔",_xlfn.TEXTJOIN(",",TRUE,IF($E$9:$N$9&lt;&gt;"",$E$2:$N$2&amp;":"&amp;$E$9:$N$9+BG$2*$AZ5,"")),$BF$5)</f>
        <v/>
      </c>
      <c r="BH5" s="30" t="str" cm="1">
        <f t="array" ref="BH5">IF($AX5="✔",_xlfn.TEXTJOIN(",",TRUE,IF($E$9:$N$9&lt;&gt;"",$E$2:$N$2&amp;":"&amp;$E$9:$N$9+BH$2*$AZ5,"")),$BF$5)</f>
        <v/>
      </c>
      <c r="BI5" s="30" t="str" cm="1">
        <f t="array" ref="BI5">IF($AX5="✔",_xlfn.TEXTJOIN(",",TRUE,IF($E$9:$N$9&lt;&gt;"",$E$2:$N$2&amp;":"&amp;$E$9:$N$9+BI$2*$AZ5,"")),$BF$5)</f>
        <v/>
      </c>
      <c r="BJ5" s="30" t="str" cm="1">
        <f t="array" ref="BJ5">IF($AX5="✔",_xlfn.TEXTJOIN(",",TRUE,IF($E$9:$N$9&lt;&gt;"",$E$2:$N$2&amp;":"&amp;$E$9:$N$9+BJ$2*$AZ5,"")),$BF$5)</f>
        <v/>
      </c>
      <c r="BK5" s="30" t="str" cm="1">
        <f t="array" ref="BK5">IF($AX5="✔",_xlfn.TEXTJOIN(",",TRUE,IF($E$9:$N$9&lt;&gt;"",$E$2:$N$2&amp;":"&amp;$E$9:$N$9+BK$2*$AZ5,"")),$BF$5)</f>
        <v/>
      </c>
    </row>
    <row r="6" s="1" customFormat="1" spans="1:63">
      <c r="A6" s="15"/>
      <c r="B6" s="16" t="s">
        <v>59</v>
      </c>
      <c r="C6" s="17" t="s">
        <v>60</v>
      </c>
      <c r="D6" s="17"/>
      <c r="E6" s="95"/>
      <c r="F6" s="95"/>
      <c r="G6" s="95"/>
      <c r="H6" s="95"/>
      <c r="I6" s="95"/>
      <c r="J6" s="95"/>
      <c r="K6" s="95"/>
      <c r="L6" s="95"/>
      <c r="M6" s="95"/>
      <c r="N6" s="95"/>
      <c r="Q6" s="90" t="s">
        <v>25</v>
      </c>
      <c r="R6" s="20" t="e">
        <f t="shared" ref="R6:W6" si="6">R21/$E$4</f>
        <v>#DIV/0!</v>
      </c>
      <c r="S6" s="20" t="e">
        <f t="shared" si="6"/>
        <v>#DIV/0!</v>
      </c>
      <c r="T6" s="20" t="e">
        <f t="shared" si="6"/>
        <v>#DIV/0!</v>
      </c>
      <c r="U6" s="20" t="e">
        <f t="shared" si="6"/>
        <v>#DIV/0!</v>
      </c>
      <c r="V6" s="20" t="e">
        <f t="shared" si="6"/>
        <v>#DIV/0!</v>
      </c>
      <c r="W6" s="20" t="e">
        <f t="shared" si="6"/>
        <v>#DIV/0!</v>
      </c>
      <c r="AE6" s="27"/>
      <c r="AF6" s="37"/>
      <c r="AG6" s="28"/>
      <c r="AH6" s="1" t="s">
        <v>61</v>
      </c>
      <c r="AI6" s="35"/>
      <c r="AJ6" s="29">
        <f t="shared" ref="AJ6:AU6" si="7">$E$14*$E$4</f>
        <v>0</v>
      </c>
      <c r="AK6" s="29">
        <f t="shared" si="7"/>
        <v>0</v>
      </c>
      <c r="AL6" s="29">
        <f t="shared" si="7"/>
        <v>0</v>
      </c>
      <c r="AM6" s="29">
        <f t="shared" si="7"/>
        <v>0</v>
      </c>
      <c r="AN6" s="29">
        <f t="shared" si="7"/>
        <v>0</v>
      </c>
      <c r="AO6" s="29">
        <f t="shared" si="7"/>
        <v>0</v>
      </c>
      <c r="AP6" s="29">
        <f t="shared" si="7"/>
        <v>0</v>
      </c>
      <c r="AQ6" s="29">
        <f t="shared" si="7"/>
        <v>0</v>
      </c>
      <c r="AR6" s="29">
        <f t="shared" si="7"/>
        <v>0</v>
      </c>
      <c r="AS6" s="29">
        <f t="shared" si="7"/>
        <v>0</v>
      </c>
      <c r="AT6" s="29">
        <f t="shared" si="7"/>
        <v>0</v>
      </c>
      <c r="AU6" s="29">
        <f t="shared" si="7"/>
        <v>0</v>
      </c>
      <c r="AX6" s="91" t="s">
        <v>50</v>
      </c>
      <c r="AY6" s="38" t="s">
        <v>62</v>
      </c>
      <c r="AZ6" s="96">
        <v>300</v>
      </c>
      <c r="BA6" s="2">
        <f t="shared" ref="BA6:BE6" si="8">IF($AX6="✔",$BF6+BA$2*$AZ6,$BF6)</f>
        <v>-1500</v>
      </c>
      <c r="BB6" s="2">
        <f t="shared" si="8"/>
        <v>-1200</v>
      </c>
      <c r="BC6" s="2">
        <f t="shared" si="8"/>
        <v>-900</v>
      </c>
      <c r="BD6" s="2">
        <f t="shared" si="8"/>
        <v>-600</v>
      </c>
      <c r="BE6" s="2">
        <f t="shared" si="8"/>
        <v>-300</v>
      </c>
      <c r="BF6" s="40">
        <f>$E$13</f>
        <v>0</v>
      </c>
      <c r="BG6" s="2">
        <f t="shared" ref="BG6:BK6" si="9">IF($AX6="✔",$BF6+BG$2*$AZ6,$BF6)</f>
        <v>300</v>
      </c>
      <c r="BH6" s="2">
        <f t="shared" si="9"/>
        <v>600</v>
      </c>
      <c r="BI6" s="2">
        <f t="shared" si="9"/>
        <v>900</v>
      </c>
      <c r="BJ6" s="2">
        <f t="shared" si="9"/>
        <v>1200</v>
      </c>
      <c r="BK6" s="2">
        <f t="shared" si="9"/>
        <v>1500</v>
      </c>
    </row>
    <row r="7" s="1" customFormat="1" spans="1:63">
      <c r="A7" s="15"/>
      <c r="B7" s="16" t="s">
        <v>55</v>
      </c>
      <c r="C7" s="17" t="s">
        <v>63</v>
      </c>
      <c r="D7" s="17"/>
      <c r="E7" s="95"/>
      <c r="F7" s="95"/>
      <c r="G7" s="95"/>
      <c r="H7" s="95"/>
      <c r="I7" s="95"/>
      <c r="J7" s="95"/>
      <c r="K7" s="95"/>
      <c r="L7" s="95"/>
      <c r="M7" s="95"/>
      <c r="N7" s="95"/>
      <c r="Q7" s="90" t="s">
        <v>26</v>
      </c>
      <c r="R7" s="20" t="e">
        <f t="shared" ref="R7:W7" si="10">R22/$E$4</f>
        <v>#DIV/0!</v>
      </c>
      <c r="S7" s="20" t="e">
        <f t="shared" si="10"/>
        <v>#DIV/0!</v>
      </c>
      <c r="T7" s="20" t="e">
        <f t="shared" si="10"/>
        <v>#DIV/0!</v>
      </c>
      <c r="U7" s="20" t="e">
        <f t="shared" si="10"/>
        <v>#DIV/0!</v>
      </c>
      <c r="V7" s="20" t="e">
        <f t="shared" si="10"/>
        <v>#DIV/0!</v>
      </c>
      <c r="W7" s="20" t="e">
        <f t="shared" si="10"/>
        <v>#DIV/0!</v>
      </c>
      <c r="AE7" s="27"/>
      <c r="AF7" s="37"/>
      <c r="AG7" s="28"/>
      <c r="AH7" s="1" t="s">
        <v>64</v>
      </c>
      <c r="AI7" s="35"/>
      <c r="AJ7" s="29">
        <f t="shared" ref="AJ7:AU7" si="11">$E$4*$E$15</f>
        <v>0</v>
      </c>
      <c r="AK7" s="29">
        <f t="shared" si="11"/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91"/>
      <c r="AY7" s="1" t="s">
        <v>65</v>
      </c>
      <c r="AZ7" s="9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95"/>
      <c r="F8" s="95"/>
      <c r="G8" s="95"/>
      <c r="H8" s="95"/>
      <c r="I8" s="95"/>
      <c r="J8" s="95"/>
      <c r="K8" s="95"/>
      <c r="L8" s="95"/>
      <c r="M8" s="95"/>
      <c r="N8" s="95"/>
      <c r="Q8" s="90" t="s">
        <v>27</v>
      </c>
      <c r="R8" s="20" t="e">
        <f t="shared" ref="R8:W8" si="14">R23/$E$4</f>
        <v>#DIV/0!</v>
      </c>
      <c r="S8" s="20" t="e">
        <f t="shared" si="14"/>
        <v>#DIV/0!</v>
      </c>
      <c r="T8" s="20" t="e">
        <f t="shared" si="14"/>
        <v>#DIV/0!</v>
      </c>
      <c r="U8" s="20" t="e">
        <f t="shared" si="14"/>
        <v>#DIV/0!</v>
      </c>
      <c r="V8" s="20" t="e">
        <f t="shared" si="14"/>
        <v>#DIV/0!</v>
      </c>
      <c r="W8" s="20" t="e">
        <f t="shared" si="14"/>
        <v>#DIV/0!</v>
      </c>
      <c r="AE8" s="27"/>
      <c r="AF8" s="37"/>
      <c r="AG8" s="28"/>
      <c r="AH8" s="1" t="s">
        <v>68</v>
      </c>
      <c r="AI8" s="35"/>
      <c r="AJ8" s="29">
        <f t="shared" ref="AJ8:AU8" si="15">$E$4*$E$16</f>
        <v>0</v>
      </c>
      <c r="AK8" s="29">
        <f t="shared" si="15"/>
        <v>0</v>
      </c>
      <c r="AL8" s="29">
        <f t="shared" si="15"/>
        <v>0</v>
      </c>
      <c r="AM8" s="29">
        <f t="shared" si="15"/>
        <v>0</v>
      </c>
      <c r="AN8" s="29">
        <f t="shared" si="15"/>
        <v>0</v>
      </c>
      <c r="AO8" s="29">
        <f t="shared" si="15"/>
        <v>0</v>
      </c>
      <c r="AP8" s="29">
        <f t="shared" si="15"/>
        <v>0</v>
      </c>
      <c r="AQ8" s="29">
        <f t="shared" si="15"/>
        <v>0</v>
      </c>
      <c r="AR8" s="29">
        <f t="shared" si="15"/>
        <v>0</v>
      </c>
      <c r="AS8" s="29">
        <f t="shared" si="15"/>
        <v>0</v>
      </c>
      <c r="AT8" s="29">
        <f t="shared" si="15"/>
        <v>0</v>
      </c>
      <c r="AU8" s="29">
        <f t="shared" si="15"/>
        <v>0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95"/>
      <c r="F9" s="95"/>
      <c r="G9" s="95"/>
      <c r="H9" s="95"/>
      <c r="I9" s="95"/>
      <c r="J9" s="95"/>
      <c r="K9" s="95"/>
      <c r="L9" s="95"/>
      <c r="M9" s="95"/>
      <c r="N9" s="95"/>
      <c r="Q9" s="90" t="s">
        <v>28</v>
      </c>
      <c r="R9" s="20" t="e">
        <f t="shared" ref="R9:W9" si="16">R24/$E$4</f>
        <v>#DIV/0!</v>
      </c>
      <c r="S9" s="20" t="e">
        <f t="shared" si="16"/>
        <v>#DIV/0!</v>
      </c>
      <c r="T9" s="20" t="e">
        <f t="shared" si="16"/>
        <v>#DIV/0!</v>
      </c>
      <c r="U9" s="20" t="e">
        <f t="shared" si="16"/>
        <v>#DIV/0!</v>
      </c>
      <c r="V9" s="20" t="e">
        <f t="shared" si="16"/>
        <v>#DIV/0!</v>
      </c>
      <c r="W9" s="20" t="e">
        <f t="shared" si="16"/>
        <v>#DIV/0!</v>
      </c>
      <c r="AE9" s="27"/>
      <c r="AF9" s="37"/>
      <c r="AG9" s="28"/>
      <c r="AH9" s="1" t="s">
        <v>71</v>
      </c>
      <c r="AI9" s="35"/>
      <c r="AJ9" s="29">
        <f t="shared" ref="AJ9:AU9" si="17">$E$4*$E$17</f>
        <v>0</v>
      </c>
      <c r="AK9" s="29">
        <f t="shared" si="17"/>
        <v>0</v>
      </c>
      <c r="AL9" s="29">
        <f t="shared" si="17"/>
        <v>0</v>
      </c>
      <c r="AM9" s="29">
        <f t="shared" si="17"/>
        <v>0</v>
      </c>
      <c r="AN9" s="29">
        <f t="shared" si="17"/>
        <v>0</v>
      </c>
      <c r="AO9" s="29">
        <f t="shared" si="17"/>
        <v>0</v>
      </c>
      <c r="AP9" s="29">
        <f t="shared" si="17"/>
        <v>0</v>
      </c>
      <c r="AQ9" s="29">
        <f t="shared" si="17"/>
        <v>0</v>
      </c>
      <c r="AR9" s="29">
        <f t="shared" si="17"/>
        <v>0</v>
      </c>
      <c r="AS9" s="29">
        <f t="shared" si="17"/>
        <v>0</v>
      </c>
      <c r="AT9" s="29">
        <f t="shared" si="17"/>
        <v>0</v>
      </c>
      <c r="AU9" s="29">
        <f t="shared" si="17"/>
        <v>0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0</v>
      </c>
      <c r="BB9" s="29" cm="1">
        <f t="array" ref="BB9">_xlfn.LET(_xlpm.p,IF($AX$4="✔",$AZ$4,0),_xlpm.n,IF($AX$5="✔",$AZ$5,0),SUMPRODUCT($E$7:$N$7+BB$2*_xlpm.p,$E$8:$N$8,$E$9:$N$9+BB$2*_xlpm.n))</f>
        <v>0</v>
      </c>
      <c r="BC9" s="29" cm="1">
        <f t="array" ref="BC9">_xlfn.LET(_xlpm.p,IF($AX$4="✔",$AZ$4,0),_xlpm.n,IF($AX$5="✔",$AZ$5,0),SUMPRODUCT($E$7:$N$7+BC$2*_xlpm.p,$E$8:$N$8,$E$9:$N$9+BC$2*_xlpm.n))</f>
        <v>0</v>
      </c>
      <c r="BD9" s="29" cm="1">
        <f t="array" ref="BD9">_xlfn.LET(_xlpm.p,IF($AX$4="✔",$AZ$4,0),_xlpm.n,IF($AX$5="✔",$AZ$5,0),SUMPRODUCT($E$7:$N$7+BD$2*_xlpm.p,$E$8:$N$8,$E$9:$N$9+BD$2*_xlpm.n))</f>
        <v>0</v>
      </c>
      <c r="BE9" s="29" cm="1">
        <f t="array" ref="BE9">_xlfn.LET(_xlpm.p,IF($AX$4="✔",$AZ$4,0),_xlpm.n,IF($AX$5="✔",$AZ$5,0),SUMPRODUCT($E$7:$N$7+BE$2*_xlpm.p,$E$8:$N$8,$E$9:$N$9+BE$2*_xlpm.n))</f>
        <v>0</v>
      </c>
      <c r="BF9" s="29" cm="1">
        <f t="array" ref="BF9">(SUMPRODUCT($E$7:$N$7,$E$8:$N$8,$E$9:$N$9))</f>
        <v>0</v>
      </c>
      <c r="BG9" s="29" cm="1">
        <f t="array" ref="BG9">_xlfn.LET(_xlpm.p,IF($AX$4="✔",$AZ$4,0),_xlpm.n,IF($AX$5="✔",$AZ$5,0),SUMPRODUCT($E$7:$N$7+BG$2*_xlpm.p,$E$8:$N$8,$E$9:$N$9+BG$2*_xlpm.n))</f>
        <v>0</v>
      </c>
      <c r="BH9" s="29" cm="1">
        <f t="array" ref="BH9">_xlfn.LET(_xlpm.p,IF($AX$4="✔",$AZ$4,0),_xlpm.n,IF($AX$5="✔",$AZ$5,0),SUMPRODUCT($E$7:$N$7+BH$2*_xlpm.p,$E$8:$N$8,$E$9:$N$9+BH$2*_xlpm.n))</f>
        <v>0</v>
      </c>
      <c r="BI9" s="29" cm="1">
        <f t="array" ref="BI9">_xlfn.LET(_xlpm.p,IF($AX$4="✔",$AZ$4,0),_xlpm.n,IF($AX$5="✔",$AZ$5,0),SUMPRODUCT($E$7:$N$7+BI$2*_xlpm.p,$E$8:$N$8,$E$9:$N$9+BI$2*_xlpm.n))</f>
        <v>0</v>
      </c>
      <c r="BJ9" s="29" cm="1">
        <f t="array" ref="BJ9">_xlfn.LET(_xlpm.p,IF($AX$4="✔",$AZ$4,0),_xlpm.n,IF($AX$5="✔",$AZ$5,0),SUMPRODUCT($E$7:$N$7+BJ$2*_xlpm.p,$E$8:$N$8,$E$9:$N$9+BJ$2*_xlpm.n))</f>
        <v>0</v>
      </c>
      <c r="BK9" s="29" cm="1">
        <f t="array" ref="BK9">_xlfn.LET(_xlpm.p,IF($AX$4="✔",$AZ$4,0),_xlpm.n,IF($AX$5="✔",$AZ$5,0),SUMPRODUCT($E$7:$N$7+BK$2*_xlpm.p,$E$8:$N$8,$E$9:$N$9+BK$2*_xlpm.n))</f>
        <v>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95"/>
      <c r="F10" s="95"/>
      <c r="G10" s="95"/>
      <c r="H10" s="95"/>
      <c r="I10" s="95"/>
      <c r="J10" s="95"/>
      <c r="K10" s="95"/>
      <c r="L10" s="95"/>
      <c r="M10" s="95"/>
      <c r="N10" s="95"/>
      <c r="Q10" s="90" t="s">
        <v>29</v>
      </c>
      <c r="R10" s="20" t="e">
        <f t="shared" ref="R10:W10" si="18">R25/$E$4</f>
        <v>#DIV/0!</v>
      </c>
      <c r="S10" s="20" t="e">
        <f t="shared" si="18"/>
        <v>#DIV/0!</v>
      </c>
      <c r="T10" s="20" t="e">
        <f t="shared" si="18"/>
        <v>#DIV/0!</v>
      </c>
      <c r="U10" s="20" t="e">
        <f t="shared" si="18"/>
        <v>#DIV/0!</v>
      </c>
      <c r="V10" s="20" t="e">
        <f t="shared" si="18"/>
        <v>#DIV/0!</v>
      </c>
      <c r="W10" s="20" t="e">
        <f t="shared" si="18"/>
        <v>#DIV/0!</v>
      </c>
      <c r="AE10" s="27"/>
      <c r="AF10" s="37"/>
      <c r="AG10" s="28"/>
      <c r="AH10" s="1" t="s">
        <v>74</v>
      </c>
      <c r="AI10" s="35"/>
      <c r="AJ10" s="29">
        <f t="shared" ref="AJ10:AU10" si="19">$E$4*$E$18</f>
        <v>0</v>
      </c>
      <c r="AK10" s="29">
        <f t="shared" si="19"/>
        <v>0</v>
      </c>
      <c r="AL10" s="29">
        <f t="shared" si="19"/>
        <v>0</v>
      </c>
      <c r="AM10" s="29">
        <f t="shared" si="19"/>
        <v>0</v>
      </c>
      <c r="AN10" s="29">
        <f t="shared" si="19"/>
        <v>0</v>
      </c>
      <c r="AO10" s="29">
        <f t="shared" si="19"/>
        <v>0</v>
      </c>
      <c r="AP10" s="29">
        <f t="shared" si="19"/>
        <v>0</v>
      </c>
      <c r="AQ10" s="29">
        <f t="shared" si="19"/>
        <v>0</v>
      </c>
      <c r="AR10" s="29">
        <f t="shared" si="19"/>
        <v>0</v>
      </c>
      <c r="AS10" s="29">
        <f t="shared" si="19"/>
        <v>0</v>
      </c>
      <c r="AT10" s="29">
        <f t="shared" si="19"/>
        <v>0</v>
      </c>
      <c r="AU10" s="29">
        <f t="shared" si="19"/>
        <v>0</v>
      </c>
      <c r="AX10" s="44" t="s">
        <v>75</v>
      </c>
      <c r="AY10" s="44"/>
      <c r="AZ10" s="44"/>
      <c r="BA10" s="45">
        <f t="shared" ref="BA10:BK10" si="20">BA9</f>
        <v>0</v>
      </c>
      <c r="BB10" s="45">
        <f t="shared" si="20"/>
        <v>0</v>
      </c>
      <c r="BC10" s="45">
        <f t="shared" si="20"/>
        <v>0</v>
      </c>
      <c r="BD10" s="45">
        <f t="shared" si="20"/>
        <v>0</v>
      </c>
      <c r="BE10" s="45">
        <f t="shared" si="20"/>
        <v>0</v>
      </c>
      <c r="BF10" s="45">
        <f t="shared" si="20"/>
        <v>0</v>
      </c>
      <c r="BG10" s="45">
        <f t="shared" si="20"/>
        <v>0</v>
      </c>
      <c r="BH10" s="45">
        <f t="shared" si="20"/>
        <v>0</v>
      </c>
      <c r="BI10" s="45">
        <f t="shared" si="20"/>
        <v>0</v>
      </c>
      <c r="BJ10" s="45">
        <f t="shared" si="20"/>
        <v>0</v>
      </c>
      <c r="BK10" s="45">
        <f t="shared" si="20"/>
        <v>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94">
        <v>0</v>
      </c>
      <c r="F11" s="94"/>
      <c r="G11" s="94"/>
      <c r="H11" s="94"/>
      <c r="I11" s="94"/>
      <c r="J11" s="94"/>
      <c r="K11" s="94"/>
      <c r="L11" s="94"/>
      <c r="M11" s="94"/>
      <c r="N11" s="94"/>
      <c r="Q11" s="90" t="s">
        <v>30</v>
      </c>
      <c r="R11" s="20" t="e">
        <f t="shared" ref="R11:W11" si="21">R26/$E$4</f>
        <v>#DIV/0!</v>
      </c>
      <c r="S11" s="20" t="e">
        <f t="shared" si="21"/>
        <v>#DIV/0!</v>
      </c>
      <c r="T11" s="20" t="e">
        <f t="shared" si="21"/>
        <v>#DIV/0!</v>
      </c>
      <c r="U11" s="20" t="e">
        <f t="shared" si="21"/>
        <v>#DIV/0!</v>
      </c>
      <c r="V11" s="20" t="e">
        <f t="shared" si="21"/>
        <v>#DIV/0!</v>
      </c>
      <c r="W11" s="20" t="e">
        <f t="shared" si="21"/>
        <v>#DIV/0!</v>
      </c>
      <c r="AE11" s="27"/>
      <c r="AF11" s="37"/>
      <c r="AG11" s="28"/>
      <c r="AH11" s="1" t="s">
        <v>78</v>
      </c>
      <c r="AI11" s="35"/>
      <c r="AJ11" s="29">
        <f t="shared" ref="AJ11:AU11" si="22">$E$4*$E$19</f>
        <v>0</v>
      </c>
      <c r="AK11" s="29">
        <f t="shared" si="22"/>
        <v>0</v>
      </c>
      <c r="AL11" s="29">
        <f t="shared" si="22"/>
        <v>0</v>
      </c>
      <c r="AM11" s="29">
        <f t="shared" si="22"/>
        <v>0</v>
      </c>
      <c r="AN11" s="29">
        <f t="shared" si="22"/>
        <v>0</v>
      </c>
      <c r="AO11" s="29">
        <f t="shared" si="22"/>
        <v>0</v>
      </c>
      <c r="AP11" s="29">
        <f t="shared" si="22"/>
        <v>0</v>
      </c>
      <c r="AQ11" s="29">
        <f t="shared" si="22"/>
        <v>0</v>
      </c>
      <c r="AR11" s="29">
        <f t="shared" si="22"/>
        <v>0</v>
      </c>
      <c r="AS11" s="29">
        <f t="shared" si="22"/>
        <v>0</v>
      </c>
      <c r="AT11" s="29">
        <f t="shared" si="22"/>
        <v>0</v>
      </c>
      <c r="AU11" s="29">
        <f t="shared" si="22"/>
        <v>0</v>
      </c>
      <c r="AX11" s="28" t="s">
        <v>14</v>
      </c>
      <c r="AY11" s="28"/>
      <c r="AZ11" s="35" t="s">
        <v>79</v>
      </c>
      <c r="BA11" s="29" t="e">
        <f t="shared" ref="BA11:BE11" si="23">IF($E$3="纯租赁",BA$6*12/$E$10,($E$11/$E$28+BA$6)*12/$E$10)</f>
        <v>#DIV/0!</v>
      </c>
      <c r="BB11" s="29" t="e">
        <f t="shared" si="23"/>
        <v>#DIV/0!</v>
      </c>
      <c r="BC11" s="29" t="e">
        <f t="shared" si="23"/>
        <v>#DIV/0!</v>
      </c>
      <c r="BD11" s="29" t="e">
        <f t="shared" si="23"/>
        <v>#DIV/0!</v>
      </c>
      <c r="BE11" s="29" t="e">
        <f t="shared" si="23"/>
        <v>#DIV/0!</v>
      </c>
      <c r="BF11" s="29" t="e">
        <f>IF($E$3="纯租赁",$E$13*12/$E$10,($E$11/$E$28+$E$13)*12/$E$10)</f>
        <v>#DIV/0!</v>
      </c>
      <c r="BG11" s="29" t="e">
        <f t="shared" ref="BG11:BK11" si="24">IF($E$3="纯租赁",BG$6*12/$E$10,($E$11/$E$28+BG$6)*12/$E$10)</f>
        <v>#DIV/0!</v>
      </c>
      <c r="BH11" s="29" t="e">
        <f t="shared" si="24"/>
        <v>#DIV/0!</v>
      </c>
      <c r="BI11" s="29" t="e">
        <f t="shared" si="24"/>
        <v>#DIV/0!</v>
      </c>
      <c r="BJ11" s="29" t="e">
        <f t="shared" si="24"/>
        <v>#DIV/0!</v>
      </c>
      <c r="BK11" s="29" t="e">
        <f t="shared" si="24"/>
        <v>#DIV/0!</v>
      </c>
    </row>
    <row r="12" spans="1:63">
      <c r="A12" s="15"/>
      <c r="B12" s="16" t="s">
        <v>80</v>
      </c>
      <c r="C12" s="17" t="s">
        <v>81</v>
      </c>
      <c r="D12" s="17"/>
      <c r="E12" s="95"/>
      <c r="F12" s="97"/>
      <c r="G12" s="97"/>
      <c r="H12" s="97"/>
      <c r="I12" s="97"/>
      <c r="J12" s="97"/>
      <c r="K12" s="97"/>
      <c r="L12" s="97"/>
      <c r="M12" s="97"/>
      <c r="N12" s="97"/>
      <c r="Q12" s="90" t="s">
        <v>31</v>
      </c>
      <c r="R12" s="20" t="e">
        <f t="shared" ref="R12:W12" si="25">R27/$E$4</f>
        <v>#DIV/0!</v>
      </c>
      <c r="S12" s="20" t="e">
        <f t="shared" si="25"/>
        <v>#DIV/0!</v>
      </c>
      <c r="T12" s="20" t="e">
        <f t="shared" si="25"/>
        <v>#DIV/0!</v>
      </c>
      <c r="U12" s="20" t="e">
        <f t="shared" si="25"/>
        <v>#DIV/0!</v>
      </c>
      <c r="V12" s="20" t="e">
        <f t="shared" si="25"/>
        <v>#DIV/0!</v>
      </c>
      <c r="W12" s="20" t="e">
        <f t="shared" si="25"/>
        <v>#DIV/0!</v>
      </c>
      <c r="AE12" s="27"/>
      <c r="AF12" s="37"/>
      <c r="AG12" s="28"/>
      <c r="AH12" s="1" t="s">
        <v>82</v>
      </c>
      <c r="AI12" s="35"/>
      <c r="AJ12" s="29">
        <f t="shared" ref="AJ12:AU12" si="26">$E$4*$E$20</f>
        <v>0</v>
      </c>
      <c r="AK12" s="29">
        <f t="shared" si="26"/>
        <v>0</v>
      </c>
      <c r="AL12" s="29">
        <f t="shared" si="26"/>
        <v>0</v>
      </c>
      <c r="AM12" s="29">
        <f t="shared" si="26"/>
        <v>0</v>
      </c>
      <c r="AN12" s="29">
        <f t="shared" si="26"/>
        <v>0</v>
      </c>
      <c r="AO12" s="29">
        <f t="shared" si="26"/>
        <v>0</v>
      </c>
      <c r="AP12" s="29">
        <f t="shared" si="26"/>
        <v>0</v>
      </c>
      <c r="AQ12" s="29">
        <f t="shared" si="26"/>
        <v>0</v>
      </c>
      <c r="AR12" s="29">
        <f t="shared" si="26"/>
        <v>0</v>
      </c>
      <c r="AS12" s="29">
        <f t="shared" si="26"/>
        <v>0</v>
      </c>
      <c r="AT12" s="29">
        <f t="shared" si="26"/>
        <v>0</v>
      </c>
      <c r="AU12" s="29">
        <f t="shared" si="26"/>
        <v>0</v>
      </c>
      <c r="AX12" s="28"/>
      <c r="AY12" s="28"/>
      <c r="AZ12" s="35" t="s">
        <v>61</v>
      </c>
      <c r="BA12" s="29" t="e">
        <f t="shared" ref="BA12:BK12" si="27">$E$14*12/$E$10</f>
        <v>#DIV/0!</v>
      </c>
      <c r="BB12" s="29" t="e">
        <f t="shared" si="27"/>
        <v>#DIV/0!</v>
      </c>
      <c r="BC12" s="29" t="e">
        <f t="shared" si="27"/>
        <v>#DIV/0!</v>
      </c>
      <c r="BD12" s="29" t="e">
        <f t="shared" si="27"/>
        <v>#DIV/0!</v>
      </c>
      <c r="BE12" s="29" t="e">
        <f t="shared" si="27"/>
        <v>#DIV/0!</v>
      </c>
      <c r="BF12" s="29" t="e">
        <f t="shared" si="27"/>
        <v>#DIV/0!</v>
      </c>
      <c r="BG12" s="29" t="e">
        <f t="shared" si="27"/>
        <v>#DIV/0!</v>
      </c>
      <c r="BH12" s="29" t="e">
        <f t="shared" si="27"/>
        <v>#DIV/0!</v>
      </c>
      <c r="BI12" s="29" t="e">
        <f t="shared" si="27"/>
        <v>#DIV/0!</v>
      </c>
      <c r="BJ12" s="29" t="e">
        <f t="shared" si="27"/>
        <v>#DIV/0!</v>
      </c>
      <c r="BK12" s="29" t="e">
        <f t="shared" si="27"/>
        <v>#DIV/0!</v>
      </c>
    </row>
    <row r="13" spans="1:63">
      <c r="A13" s="15"/>
      <c r="B13" s="46" t="s">
        <v>62</v>
      </c>
      <c r="C13" s="17" t="s">
        <v>83</v>
      </c>
      <c r="D13" s="17"/>
      <c r="E13" s="94"/>
      <c r="F13" s="94"/>
      <c r="G13" s="94"/>
      <c r="H13" s="94"/>
      <c r="I13" s="94"/>
      <c r="J13" s="94"/>
      <c r="K13" s="94"/>
      <c r="L13" s="94"/>
      <c r="M13" s="94"/>
      <c r="N13" s="94"/>
      <c r="Q13" s="48" t="s">
        <v>84</v>
      </c>
      <c r="R13" s="49" t="e">
        <f t="shared" ref="R13:V13" si="28">SUM(R3:R12)</f>
        <v>#DIV/0!</v>
      </c>
      <c r="S13" s="49" t="e">
        <f t="shared" si="28"/>
        <v>#DIV/0!</v>
      </c>
      <c r="T13" s="49" t="e">
        <f t="shared" si="28"/>
        <v>#DIV/0!</v>
      </c>
      <c r="U13" s="49" t="e">
        <f t="shared" si="28"/>
        <v>#DIV/0!</v>
      </c>
      <c r="V13" s="49" t="e">
        <f t="shared" si="28"/>
        <v>#DIV/0!</v>
      </c>
      <c r="W13" s="49" t="e">
        <f>R13-S13-T13-U13-V13</f>
        <v>#DIV/0!</v>
      </c>
      <c r="AE13" s="27"/>
      <c r="AF13" s="37"/>
      <c r="AG13" s="22"/>
      <c r="AH13" s="50" t="s">
        <v>85</v>
      </c>
      <c r="AI13" s="23"/>
      <c r="AJ13" s="24">
        <f t="shared" ref="AJ13:AU13" si="29">$E$4*$E$21</f>
        <v>0</v>
      </c>
      <c r="AK13" s="24">
        <f t="shared" si="29"/>
        <v>0</v>
      </c>
      <c r="AL13" s="24">
        <f t="shared" si="29"/>
        <v>0</v>
      </c>
      <c r="AM13" s="24">
        <f t="shared" si="29"/>
        <v>0</v>
      </c>
      <c r="AN13" s="24">
        <f t="shared" si="29"/>
        <v>0</v>
      </c>
      <c r="AO13" s="24">
        <f t="shared" si="29"/>
        <v>0</v>
      </c>
      <c r="AP13" s="24">
        <f t="shared" si="29"/>
        <v>0</v>
      </c>
      <c r="AQ13" s="24">
        <f t="shared" si="29"/>
        <v>0</v>
      </c>
      <c r="AR13" s="24">
        <f t="shared" si="29"/>
        <v>0</v>
      </c>
      <c r="AS13" s="24">
        <f t="shared" si="29"/>
        <v>0</v>
      </c>
      <c r="AT13" s="24">
        <f t="shared" si="29"/>
        <v>0</v>
      </c>
      <c r="AU13" s="24">
        <f t="shared" si="29"/>
        <v>0</v>
      </c>
      <c r="AX13" s="28"/>
      <c r="AY13" s="28"/>
      <c r="AZ13" s="35" t="s">
        <v>64</v>
      </c>
      <c r="BA13" s="29" t="e">
        <f t="shared" ref="BA13:BK13" si="30">$E$15*12/$E$10</f>
        <v>#DIV/0!</v>
      </c>
      <c r="BB13" s="29" t="e">
        <f t="shared" si="30"/>
        <v>#DIV/0!</v>
      </c>
      <c r="BC13" s="29" t="e">
        <f t="shared" si="30"/>
        <v>#DIV/0!</v>
      </c>
      <c r="BD13" s="29" t="e">
        <f t="shared" si="30"/>
        <v>#DIV/0!</v>
      </c>
      <c r="BE13" s="29" t="e">
        <f t="shared" si="30"/>
        <v>#DIV/0!</v>
      </c>
      <c r="BF13" s="29" t="e">
        <f t="shared" si="30"/>
        <v>#DIV/0!</v>
      </c>
      <c r="BG13" s="29" t="e">
        <f t="shared" si="30"/>
        <v>#DIV/0!</v>
      </c>
      <c r="BH13" s="29" t="e">
        <f t="shared" si="30"/>
        <v>#DIV/0!</v>
      </c>
      <c r="BI13" s="29" t="e">
        <f t="shared" si="30"/>
        <v>#DIV/0!</v>
      </c>
      <c r="BJ13" s="29" t="e">
        <f t="shared" si="30"/>
        <v>#DIV/0!</v>
      </c>
      <c r="BK13" s="29" t="e">
        <f t="shared" si="30"/>
        <v>#DIV/0!</v>
      </c>
    </row>
    <row r="14" spans="1:63">
      <c r="A14" s="15"/>
      <c r="B14" s="16" t="s">
        <v>86</v>
      </c>
      <c r="C14" s="17" t="s">
        <v>87</v>
      </c>
      <c r="D14" s="17"/>
      <c r="E14" s="95">
        <f>IF(E4&lt;30,2000,IF(E4&lt;50,1500,IF(E4&lt;100,1200,IF(E4&lt;200,1000,800))))</f>
        <v>2000</v>
      </c>
      <c r="F14" s="97"/>
      <c r="G14" s="97"/>
      <c r="H14" s="97"/>
      <c r="I14" s="97"/>
      <c r="J14" s="97"/>
      <c r="K14" s="97"/>
      <c r="L14" s="97"/>
      <c r="M14" s="97"/>
      <c r="N14" s="9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0</v>
      </c>
      <c r="AK14" s="29" cm="1">
        <f t="array" ref="AK14">IF(AK2&lt;=$E$10,$E$4*SUMPRODUCT($E$9:$N$9,$E$22:$N$22),0)</f>
        <v>0</v>
      </c>
      <c r="AL14" s="29" cm="1">
        <f t="array" ref="AL14">IF(AL2&lt;=$E$10,$E$4*SUMPRODUCT($E$9:$N$9,$E$22:$N$22),0)</f>
        <v>0</v>
      </c>
      <c r="AM14" s="29" cm="1">
        <f t="array" ref="AM14">IF(AM2&lt;=$E$10,$E$4*SUMPRODUCT($E$9:$N$9,$E$22:$N$22),0)</f>
        <v>0</v>
      </c>
      <c r="AN14" s="29" cm="1">
        <f t="array" ref="AN14">IF(AN2&lt;=$E$10,$E$4*SUMPRODUCT($E$9:$N$9,$E$22:$N$22),0)</f>
        <v>0</v>
      </c>
      <c r="AO14" s="29" cm="1">
        <f t="array" ref="AO14">IF(AO2&lt;=$E$10,$E$4*SUMPRODUCT($E$9:$N$9,$E$22:$N$22),0)</f>
        <v>0</v>
      </c>
      <c r="AP14" s="29" cm="1">
        <f t="array" ref="AP14">IF(AP2&lt;=$E$10,$E$4*SUMPRODUCT($E$9:$N$9,$E$22:$N$22),0)</f>
        <v>0</v>
      </c>
      <c r="AQ14" s="29" cm="1">
        <f t="array" ref="AQ14">IF(AQ2&lt;=$E$10,$E$4*SUMPRODUCT($E$9:$N$9,$E$22:$N$22),0)</f>
        <v>0</v>
      </c>
      <c r="AR14" s="29" cm="1">
        <f t="array" ref="AR14">IF(AR2&lt;=$E$10,$E$4*SUMPRODUCT($E$9:$N$9,$E$22:$N$22),0)</f>
        <v>0</v>
      </c>
      <c r="AS14" s="29" cm="1">
        <f t="array" ref="AS14">IF(AS2&lt;=$E$10,$E$4*SUMPRODUCT($E$9:$N$9,$E$22:$N$22),0)</f>
        <v>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 t="e">
        <f t="shared" ref="BA14:BK14" si="31">$E$16*12/$E$10</f>
        <v>#DIV/0!</v>
      </c>
      <c r="BB14" s="29" t="e">
        <f t="shared" si="31"/>
        <v>#DIV/0!</v>
      </c>
      <c r="BC14" s="29" t="e">
        <f t="shared" si="31"/>
        <v>#DIV/0!</v>
      </c>
      <c r="BD14" s="29" t="e">
        <f t="shared" si="31"/>
        <v>#DIV/0!</v>
      </c>
      <c r="BE14" s="29" t="e">
        <f t="shared" si="31"/>
        <v>#DIV/0!</v>
      </c>
      <c r="BF14" s="29" t="e">
        <f t="shared" si="31"/>
        <v>#DIV/0!</v>
      </c>
      <c r="BG14" s="29" t="e">
        <f t="shared" si="31"/>
        <v>#DIV/0!</v>
      </c>
      <c r="BH14" s="29" t="e">
        <f t="shared" si="31"/>
        <v>#DIV/0!</v>
      </c>
      <c r="BI14" s="29" t="e">
        <f t="shared" si="31"/>
        <v>#DIV/0!</v>
      </c>
      <c r="BJ14" s="29" t="e">
        <f t="shared" si="31"/>
        <v>#DIV/0!</v>
      </c>
      <c r="BK14" s="29" t="e">
        <f t="shared" si="31"/>
        <v>#DIV/0!</v>
      </c>
    </row>
    <row r="15" spans="1:63">
      <c r="A15" s="15"/>
      <c r="B15" s="16" t="s">
        <v>89</v>
      </c>
      <c r="C15" s="17" t="s">
        <v>90</v>
      </c>
      <c r="D15" s="17"/>
      <c r="E15" s="95"/>
      <c r="F15" s="97"/>
      <c r="G15" s="97"/>
      <c r="H15" s="97"/>
      <c r="I15" s="97"/>
      <c r="J15" s="97"/>
      <c r="K15" s="97"/>
      <c r="L15" s="97"/>
      <c r="M15" s="97"/>
      <c r="N15" s="9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0</v>
      </c>
      <c r="AK15" s="29" cm="1">
        <f t="array" ref="AK15">IF(AK2&lt;=$E$10,$E$4*SUMPRODUCT($E$23:$N$23,$E$9:$N$9),0)</f>
        <v>0</v>
      </c>
      <c r="AL15" s="29" cm="1">
        <f t="array" ref="AL15">IF(AL2&lt;=$E$10,$E$4*SUMPRODUCT($E$23:$N$23,$E$9:$N$9),0)</f>
        <v>0</v>
      </c>
      <c r="AM15" s="29" cm="1">
        <f t="array" ref="AM15">IF(AM2&lt;=$E$10,$E$4*SUMPRODUCT($E$23:$N$23,$E$9:$N$9),0)</f>
        <v>0</v>
      </c>
      <c r="AN15" s="29" cm="1">
        <f t="array" ref="AN15">IF(AN2&lt;=$E$10,$E$4*SUMPRODUCT($E$23:$N$23,$E$9:$N$9),0)</f>
        <v>0</v>
      </c>
      <c r="AO15" s="29" cm="1">
        <f t="array" ref="AO15">IF(AO2&lt;=$E$10,$E$4*SUMPRODUCT($E$23:$N$23,$E$9:$N$9),0)</f>
        <v>0</v>
      </c>
      <c r="AP15" s="29" cm="1">
        <f t="array" ref="AP15">IF(AP2&lt;=$E$10,$E$4*SUMPRODUCT($E$23:$N$23,$E$9:$N$9),0)</f>
        <v>0</v>
      </c>
      <c r="AQ15" s="29" cm="1">
        <f t="array" ref="AQ15">IF(AQ2&lt;=$E$10,$E$4*SUMPRODUCT($E$23:$N$23,$E$9:$N$9),0)</f>
        <v>0</v>
      </c>
      <c r="AR15" s="29" cm="1">
        <f t="array" ref="AR15">IF(AR2&lt;=$E$10,$E$4*SUMPRODUCT($E$23:$N$23,$E$9:$N$9),0)</f>
        <v>0</v>
      </c>
      <c r="AS15" s="29" cm="1">
        <f t="array" ref="AS15">IF(AS2&lt;=$E$10,$E$4*SUMPRODUCT($E$23:$N$23,$E$9:$N$9),0)</f>
        <v>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 t="e">
        <f t="shared" ref="BA15:BK15" si="32">$E$17*12/$E$10</f>
        <v>#DIV/0!</v>
      </c>
      <c r="BB15" s="29" t="e">
        <f t="shared" si="32"/>
        <v>#DIV/0!</v>
      </c>
      <c r="BC15" s="29" t="e">
        <f t="shared" si="32"/>
        <v>#DIV/0!</v>
      </c>
      <c r="BD15" s="29" t="e">
        <f t="shared" si="32"/>
        <v>#DIV/0!</v>
      </c>
      <c r="BE15" s="29" t="e">
        <f t="shared" si="32"/>
        <v>#DIV/0!</v>
      </c>
      <c r="BF15" s="29" t="e">
        <f t="shared" si="32"/>
        <v>#DIV/0!</v>
      </c>
      <c r="BG15" s="29" t="e">
        <f t="shared" si="32"/>
        <v>#DIV/0!</v>
      </c>
      <c r="BH15" s="29" t="e">
        <f t="shared" si="32"/>
        <v>#DIV/0!</v>
      </c>
      <c r="BI15" s="29" t="e">
        <f t="shared" si="32"/>
        <v>#DIV/0!</v>
      </c>
      <c r="BJ15" s="29" t="e">
        <f t="shared" si="32"/>
        <v>#DIV/0!</v>
      </c>
      <c r="BK15" s="29" t="e">
        <f t="shared" si="32"/>
        <v>#DIV/0!</v>
      </c>
    </row>
    <row r="16" spans="1:63">
      <c r="A16" s="15"/>
      <c r="B16" s="16" t="s">
        <v>92</v>
      </c>
      <c r="C16" s="17" t="s">
        <v>93</v>
      </c>
      <c r="D16" s="17"/>
      <c r="E16" s="95"/>
      <c r="F16" s="97"/>
      <c r="G16" s="97"/>
      <c r="H16" s="97"/>
      <c r="I16" s="97"/>
      <c r="J16" s="97"/>
      <c r="K16" s="97"/>
      <c r="L16" s="97"/>
      <c r="M16" s="97"/>
      <c r="N16" s="9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 t="e">
        <f t="shared" ref="BA16:BK16" si="33">$E$18*12/$E$10</f>
        <v>#DIV/0!</v>
      </c>
      <c r="BB16" s="29" t="e">
        <f t="shared" si="33"/>
        <v>#DIV/0!</v>
      </c>
      <c r="BC16" s="29" t="e">
        <f t="shared" si="33"/>
        <v>#DIV/0!</v>
      </c>
      <c r="BD16" s="29" t="e">
        <f t="shared" si="33"/>
        <v>#DIV/0!</v>
      </c>
      <c r="BE16" s="29" t="e">
        <f t="shared" si="33"/>
        <v>#DIV/0!</v>
      </c>
      <c r="BF16" s="29" t="e">
        <f t="shared" si="33"/>
        <v>#DIV/0!</v>
      </c>
      <c r="BG16" s="29" t="e">
        <f t="shared" si="33"/>
        <v>#DIV/0!</v>
      </c>
      <c r="BH16" s="29" t="e">
        <f t="shared" si="33"/>
        <v>#DIV/0!</v>
      </c>
      <c r="BI16" s="29" t="e">
        <f t="shared" si="33"/>
        <v>#DIV/0!</v>
      </c>
      <c r="BJ16" s="29" t="e">
        <f t="shared" si="33"/>
        <v>#DIV/0!</v>
      </c>
      <c r="BK16" s="29" t="e">
        <f t="shared" si="33"/>
        <v>#DIV/0!</v>
      </c>
    </row>
    <row r="17" spans="1:63">
      <c r="A17" s="15"/>
      <c r="B17" s="16" t="s">
        <v>95</v>
      </c>
      <c r="C17" s="17" t="s">
        <v>96</v>
      </c>
      <c r="D17" s="17"/>
      <c r="E17" s="95">
        <f>4000/12</f>
        <v>333.333333333333</v>
      </c>
      <c r="F17" s="97"/>
      <c r="G17" s="97"/>
      <c r="H17" s="97"/>
      <c r="I17" s="97"/>
      <c r="J17" s="97"/>
      <c r="K17" s="97"/>
      <c r="L17" s="97"/>
      <c r="M17" s="97"/>
      <c r="N17" s="9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0</v>
      </c>
      <c r="AK17" s="29" cm="1">
        <f t="array" ref="AK17">IF(AK2&lt;=$E$10,$E$4*SUMPRODUCT($E$9:$N$9,$E$25:$N$25),0)</f>
        <v>0</v>
      </c>
      <c r="AL17" s="29" cm="1">
        <f t="array" ref="AL17">IF(AL2&lt;=$E$10,$E$4*SUMPRODUCT($E$9:$N$9,$E$25:$N$25),0)</f>
        <v>0</v>
      </c>
      <c r="AM17" s="29" cm="1">
        <f t="array" ref="AM17">IF(AM2&lt;=$E$10,$E$4*SUMPRODUCT($E$9:$N$9,$E$25:$N$25),0)</f>
        <v>0</v>
      </c>
      <c r="AN17" s="29" cm="1">
        <f t="array" ref="AN17">IF(AN2&lt;=$E$10,$E$4*SUMPRODUCT($E$9:$N$9,$E$25:$N$25),0)</f>
        <v>0</v>
      </c>
      <c r="AO17" s="29" cm="1">
        <f t="array" ref="AO17">IF(AO2&lt;=$E$10,$E$4*SUMPRODUCT($E$9:$N$9,$E$25:$N$25),0)</f>
        <v>0</v>
      </c>
      <c r="AP17" s="29" cm="1">
        <f t="array" ref="AP17">IF(AP2&lt;=$E$10,$E$4*SUMPRODUCT($E$9:$N$9,$E$25:$N$25),0)</f>
        <v>0</v>
      </c>
      <c r="AQ17" s="29" cm="1">
        <f t="array" ref="AQ17">IF(AQ2&lt;=$E$10,$E$4*SUMPRODUCT($E$9:$N$9,$E$25:$N$25),0)</f>
        <v>0</v>
      </c>
      <c r="AR17" s="29" cm="1">
        <f t="array" ref="AR17">IF(AR2&lt;=$E$10,$E$4*SUMPRODUCT($E$9:$N$9,$E$25:$N$25),0)</f>
        <v>0</v>
      </c>
      <c r="AS17" s="29" cm="1">
        <f t="array" ref="AS17">IF(AS2&lt;=$E$10,$E$4*SUMPRODUCT($E$9:$N$9,$E$25:$N$25),0)</f>
        <v>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 t="e">
        <f t="shared" ref="BA17:BK17" si="34">$E$19*12/$E$10</f>
        <v>#DIV/0!</v>
      </c>
      <c r="BB17" s="29" t="e">
        <f t="shared" si="34"/>
        <v>#DIV/0!</v>
      </c>
      <c r="BC17" s="29" t="e">
        <f t="shared" si="34"/>
        <v>#DIV/0!</v>
      </c>
      <c r="BD17" s="29" t="e">
        <f t="shared" si="34"/>
        <v>#DIV/0!</v>
      </c>
      <c r="BE17" s="29" t="e">
        <f t="shared" si="34"/>
        <v>#DIV/0!</v>
      </c>
      <c r="BF17" s="29" t="e">
        <f t="shared" si="34"/>
        <v>#DIV/0!</v>
      </c>
      <c r="BG17" s="29" t="e">
        <f t="shared" si="34"/>
        <v>#DIV/0!</v>
      </c>
      <c r="BH17" s="29" t="e">
        <f t="shared" si="34"/>
        <v>#DIV/0!</v>
      </c>
      <c r="BI17" s="29" t="e">
        <f t="shared" si="34"/>
        <v>#DIV/0!</v>
      </c>
      <c r="BJ17" s="29" t="e">
        <f t="shared" si="34"/>
        <v>#DIV/0!</v>
      </c>
      <c r="BK17" s="29" t="e">
        <f t="shared" si="34"/>
        <v>#DIV/0!</v>
      </c>
    </row>
    <row r="18" spans="1:63">
      <c r="A18" s="15"/>
      <c r="B18" s="16" t="s">
        <v>98</v>
      </c>
      <c r="C18" s="17" t="s">
        <v>99</v>
      </c>
      <c r="D18" s="17"/>
      <c r="E18" s="95"/>
      <c r="F18" s="97"/>
      <c r="G18" s="97"/>
      <c r="H18" s="97"/>
      <c r="I18" s="97"/>
      <c r="J18" s="97"/>
      <c r="K18" s="97"/>
      <c r="L18" s="97"/>
      <c r="M18" s="97"/>
      <c r="N18" s="97"/>
      <c r="Q18" s="90" t="s">
        <v>20</v>
      </c>
      <c r="R18" s="20">
        <f>$E$4*$E$7*$E$8*$E$9</f>
        <v>0</v>
      </c>
      <c r="S18" s="51" t="e">
        <f>SUM($S$41:$S$49)</f>
        <v>#DIV/0!</v>
      </c>
      <c r="T18" s="51" t="e">
        <f>SUM($S$50:$S$55)</f>
        <v>#DIV/0!</v>
      </c>
      <c r="U18" s="51" t="e">
        <f>SUM($S$56:$S$57)</f>
        <v>#DIV/0!</v>
      </c>
      <c r="V18" s="29" t="e">
        <f>MAX(0,S58-S59)</f>
        <v>#DIV/0!</v>
      </c>
      <c r="W18" s="51" t="e">
        <f t="shared" ref="W18:W28" si="35">R18-S18-T18-U18-V18</f>
        <v>#DIV/0!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0</v>
      </c>
      <c r="AK18" s="29" cm="1">
        <f t="array" ref="AK18">IF(AK2&lt;=$E$10,$E$4*$E$5*SUMPRODUCT(IF($E$8:$N$8,$E$32,$E$33),$E$6:$N$6,$E$9:$N$9),0)</f>
        <v>0</v>
      </c>
      <c r="AL18" s="29" cm="1">
        <f t="array" ref="AL18">IF(AL2&lt;=$E$10,$E$4*$E$5*SUMPRODUCT(IF($E$8:$N$8,$E$32,$E$33),$E$6:$N$6,$E$9:$N$9),0)</f>
        <v>0</v>
      </c>
      <c r="AM18" s="29" cm="1">
        <f t="array" ref="AM18">IF(AM2&lt;=$E$10,$E$4*$E$5*SUMPRODUCT(IF($E$8:$N$8,$E$32,$E$33),$E$6:$N$6,$E$9:$N$9),0)</f>
        <v>0</v>
      </c>
      <c r="AN18" s="29" cm="1">
        <f t="array" ref="AN18">IF(AN2&lt;=$E$10,$E$4*$E$5*SUMPRODUCT(IF($E$8:$N$8,$E$32,$E$33),$E$6:$N$6,$E$9:$N$9),0)</f>
        <v>0</v>
      </c>
      <c r="AO18" s="29" cm="1">
        <f t="array" ref="AO18">IF(AO2&lt;=$E$10,$E$4*$E$5*SUMPRODUCT(IF($E$8:$N$8,$E$32,$E$33),$E$6:$N$6,$E$9:$N$9),0)</f>
        <v>0</v>
      </c>
      <c r="AP18" s="29" cm="1">
        <f t="array" ref="AP18">IF(AP2&lt;=$E$10,$E$4*$E$5*SUMPRODUCT(IF($E$8:$N$8,$E$32,$E$33),$E$6:$N$6,$E$9:$N$9),0)</f>
        <v>0</v>
      </c>
      <c r="AQ18" s="29" cm="1">
        <f t="array" ref="AQ18">IF(AQ2&lt;=$E$10,$E$4*$E$5*SUMPRODUCT(IF($E$8:$N$8,$E$32,$E$33),$E$6:$N$6,$E$9:$N$9),0)</f>
        <v>0</v>
      </c>
      <c r="AR18" s="29" cm="1">
        <f t="array" ref="AR18">IF(AR2&lt;=$E$10,$E$4*$E$5*SUMPRODUCT(IF($E$8:$N$8,$E$32,$E$33),$E$6:$N$6,$E$9:$N$9),0)</f>
        <v>0</v>
      </c>
      <c r="AS18" s="29" cm="1">
        <f t="array" ref="AS18">IF(AS2&lt;=$E$10,$E$4*$E$5*SUMPRODUCT(IF($E$8:$N$8,$E$32,$E$33),$E$6:$N$6,$E$9:$N$9),0)</f>
        <v>0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 t="e">
        <f t="shared" ref="BA18:BK18" si="36">$E$20*12/$E$10</f>
        <v>#DIV/0!</v>
      </c>
      <c r="BB18" s="29" t="e">
        <f t="shared" si="36"/>
        <v>#DIV/0!</v>
      </c>
      <c r="BC18" s="29" t="e">
        <f t="shared" si="36"/>
        <v>#DIV/0!</v>
      </c>
      <c r="BD18" s="29" t="e">
        <f t="shared" si="36"/>
        <v>#DIV/0!</v>
      </c>
      <c r="BE18" s="29" t="e">
        <f t="shared" si="36"/>
        <v>#DIV/0!</v>
      </c>
      <c r="BF18" s="29" t="e">
        <f t="shared" si="36"/>
        <v>#DIV/0!</v>
      </c>
      <c r="BG18" s="29" t="e">
        <f t="shared" si="36"/>
        <v>#DIV/0!</v>
      </c>
      <c r="BH18" s="29" t="e">
        <f t="shared" si="36"/>
        <v>#DIV/0!</v>
      </c>
      <c r="BI18" s="29" t="e">
        <f t="shared" si="36"/>
        <v>#DIV/0!</v>
      </c>
      <c r="BJ18" s="29" t="e">
        <f t="shared" si="36"/>
        <v>#DIV/0!</v>
      </c>
      <c r="BK18" s="29" t="e">
        <f t="shared" si="36"/>
        <v>#DIV/0!</v>
      </c>
    </row>
    <row r="19" spans="1:63">
      <c r="A19" s="15"/>
      <c r="B19" s="16" t="s">
        <v>101</v>
      </c>
      <c r="C19" s="17" t="s">
        <v>102</v>
      </c>
      <c r="D19" s="17"/>
      <c r="E19" s="95"/>
      <c r="F19" s="97"/>
      <c r="G19" s="97"/>
      <c r="H19" s="97"/>
      <c r="I19" s="97"/>
      <c r="J19" s="97"/>
      <c r="K19" s="97"/>
      <c r="L19" s="97"/>
      <c r="M19" s="97"/>
      <c r="N19" s="97"/>
      <c r="Q19" s="90" t="s">
        <v>22</v>
      </c>
      <c r="R19" s="20">
        <f>$E$4*$F$7*$F$8*$F$9</f>
        <v>0</v>
      </c>
      <c r="S19" s="51" t="e">
        <f>SUM($T$41:$T$49)</f>
        <v>#DIV/0!</v>
      </c>
      <c r="T19" s="51" t="e">
        <f>SUM($T$50:$T$55)</f>
        <v>#DIV/0!</v>
      </c>
      <c r="U19" s="51" t="e">
        <f>SUM($T$56:$T$57)</f>
        <v>#DIV/0!</v>
      </c>
      <c r="V19" s="29" t="e">
        <f>MAX(0,T58-T59)</f>
        <v>#DIV/0!</v>
      </c>
      <c r="W19" s="51" t="e">
        <f t="shared" si="35"/>
        <v>#DIV/0!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0</v>
      </c>
      <c r="AK19" s="24" cm="1">
        <f t="array" ref="AK19">IF(AK2&lt;=$E$10,SUMPRODUCT($E$6:$N$6,$E$9:$N$9)/$E$29*$E$30*$E$4*$E$31,0)</f>
        <v>0</v>
      </c>
      <c r="AL19" s="24" cm="1">
        <f t="array" ref="AL19">IF(AL2&lt;=$E$10,SUMPRODUCT($E$6:$N$6,$E$9:$N$9)/$E$29*$E$30*$E$4*$E$31,0)</f>
        <v>0</v>
      </c>
      <c r="AM19" s="24" cm="1">
        <f t="array" ref="AM19">IF(AM2&lt;=$E$10,SUMPRODUCT($E$6:$N$6,$E$9:$N$9)/$E$29*$E$30*$E$4*$E$31,0)</f>
        <v>0</v>
      </c>
      <c r="AN19" s="24" cm="1">
        <f t="array" ref="AN19">IF(AN2&lt;=$E$10,SUMPRODUCT($E$6:$N$6,$E$9:$N$9)/$E$29*$E$30*$E$4*$E$31,0)</f>
        <v>0</v>
      </c>
      <c r="AO19" s="24" cm="1">
        <f t="array" ref="AO19">IF(AO2&lt;=$E$10,SUMPRODUCT($E$6:$N$6,$E$9:$N$9)/$E$29*$E$30*$E$4*$E$31,0)</f>
        <v>0</v>
      </c>
      <c r="AP19" s="24" cm="1">
        <f t="array" ref="AP19">IF(AP2&lt;=$E$10,SUMPRODUCT($E$6:$N$6,$E$9:$N$9)/$E$29*$E$30*$E$4*$E$31,0)</f>
        <v>0</v>
      </c>
      <c r="AQ19" s="24" cm="1">
        <f t="array" ref="AQ19">IF(AQ2&lt;=$E$10,SUMPRODUCT($E$6:$N$6,$E$9:$N$9)/$E$29*$E$30*$E$4*$E$31,0)</f>
        <v>0</v>
      </c>
      <c r="AR19" s="24" cm="1">
        <f t="array" ref="AR19">IF(AR2&lt;=$E$10,SUMPRODUCT($E$6:$N$6,$E$9:$N$9)/$E$29*$E$30*$E$4*$E$31,0)</f>
        <v>0</v>
      </c>
      <c r="AS19" s="24" cm="1">
        <f t="array" ref="AS19">IF(AS2&lt;=$E$10,SUMPRODUCT($E$6:$N$6,$E$9:$N$9)/$E$29*$E$30*$E$4*$E$31,0)</f>
        <v>0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 t="e">
        <f t="shared" ref="BA19:BK19" si="37">$E$21*12/$E$10</f>
        <v>#DIV/0!</v>
      </c>
      <c r="BB19" s="24" t="e">
        <f t="shared" si="37"/>
        <v>#DIV/0!</v>
      </c>
      <c r="BC19" s="24" t="e">
        <f t="shared" si="37"/>
        <v>#DIV/0!</v>
      </c>
      <c r="BD19" s="24" t="e">
        <f t="shared" si="37"/>
        <v>#DIV/0!</v>
      </c>
      <c r="BE19" s="24" t="e">
        <f t="shared" si="37"/>
        <v>#DIV/0!</v>
      </c>
      <c r="BF19" s="24" t="e">
        <f t="shared" si="37"/>
        <v>#DIV/0!</v>
      </c>
      <c r="BG19" s="24" t="e">
        <f t="shared" si="37"/>
        <v>#DIV/0!</v>
      </c>
      <c r="BH19" s="24" t="e">
        <f t="shared" si="37"/>
        <v>#DIV/0!</v>
      </c>
      <c r="BI19" s="24" t="e">
        <f t="shared" si="37"/>
        <v>#DIV/0!</v>
      </c>
      <c r="BJ19" s="24" t="e">
        <f t="shared" si="37"/>
        <v>#DIV/0!</v>
      </c>
      <c r="BK19" s="24" t="e">
        <f t="shared" si="37"/>
        <v>#DIV/0!</v>
      </c>
    </row>
    <row r="20" spans="1:63">
      <c r="A20" s="15"/>
      <c r="B20" s="16" t="s">
        <v>104</v>
      </c>
      <c r="C20" s="17" t="s">
        <v>105</v>
      </c>
      <c r="D20" s="17"/>
      <c r="E20" s="95">
        <f>4000/12</f>
        <v>333.333333333333</v>
      </c>
      <c r="F20" s="95"/>
      <c r="G20" s="95"/>
      <c r="H20" s="95"/>
      <c r="I20" s="95"/>
      <c r="J20" s="95"/>
      <c r="K20" s="95"/>
      <c r="L20" s="95"/>
      <c r="M20" s="95"/>
      <c r="N20" s="95"/>
      <c r="Q20" s="90" t="s">
        <v>24</v>
      </c>
      <c r="R20" s="20">
        <f>$E$4*$G$7*$G$8*$G$9</f>
        <v>0</v>
      </c>
      <c r="S20" s="51" t="e">
        <f>SUM($U$41:$U$49)</f>
        <v>#DIV/0!</v>
      </c>
      <c r="T20" s="51" t="e">
        <f>SUM($U$50:$U$55)</f>
        <v>#DIV/0!</v>
      </c>
      <c r="U20" s="51" t="e">
        <f>SUM($U$56:$U$57)</f>
        <v>#DIV/0!</v>
      </c>
      <c r="V20" s="29" t="e">
        <f>MAX(0,U58-U59)</f>
        <v>#DIV/0!</v>
      </c>
      <c r="W20" s="51" t="e">
        <f t="shared" si="35"/>
        <v>#DIV/0!</v>
      </c>
      <c r="AE20" s="27"/>
      <c r="AF20" s="37"/>
      <c r="AG20" s="28" t="s">
        <v>16</v>
      </c>
      <c r="AH20" s="1" t="s">
        <v>106</v>
      </c>
      <c r="AI20" s="35"/>
      <c r="AJ20" s="29">
        <f t="shared" ref="AJ20:AU20" si="38">AJ3*$E$34/12*$E$26</f>
        <v>0</v>
      </c>
      <c r="AK20" s="29">
        <f t="shared" si="38"/>
        <v>0</v>
      </c>
      <c r="AL20" s="29">
        <f t="shared" si="38"/>
        <v>0</v>
      </c>
      <c r="AM20" s="29">
        <f t="shared" si="38"/>
        <v>0</v>
      </c>
      <c r="AN20" s="29">
        <f t="shared" si="38"/>
        <v>0</v>
      </c>
      <c r="AO20" s="29">
        <f t="shared" si="38"/>
        <v>0</v>
      </c>
      <c r="AP20" s="29">
        <f t="shared" si="38"/>
        <v>0</v>
      </c>
      <c r="AQ20" s="29">
        <f t="shared" si="38"/>
        <v>0</v>
      </c>
      <c r="AR20" s="29">
        <f t="shared" si="38"/>
        <v>0</v>
      </c>
      <c r="AS20" s="29">
        <f t="shared" si="38"/>
        <v>0</v>
      </c>
      <c r="AT20" s="29">
        <f t="shared" si="38"/>
        <v>0</v>
      </c>
      <c r="AU20" s="29">
        <f t="shared" si="38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0</v>
      </c>
      <c r="BB20" s="29" cm="1">
        <f t="array" ref="BB20">_xlfn.LET(_xlpm.n,IF($AX$5="✔",$AZ$5,0),SUMPRODUCT($E$9:$N$9+BB$2*_xlpm.n,$E$22:$N$22))</f>
        <v>0</v>
      </c>
      <c r="BC20" s="29" cm="1">
        <f t="array" ref="BC20">_xlfn.LET(_xlpm.n,IF($AX$5="✔",$AZ$5,0),SUMPRODUCT($E$9:$N$9+BC$2*_xlpm.n,$E$22:$N$22))</f>
        <v>0</v>
      </c>
      <c r="BD20" s="29" cm="1">
        <f t="array" ref="BD20">_xlfn.LET(_xlpm.n,IF($AX$5="✔",$AZ$5,0),SUMPRODUCT($E$9:$N$9+BD$2*_xlpm.n,$E$22:$N$22))</f>
        <v>0</v>
      </c>
      <c r="BE20" s="29" cm="1">
        <f t="array" ref="BE20">_xlfn.LET(_xlpm.n,IF($AX$5="✔",$AZ$5,0),SUMPRODUCT($E$9:$N$9+BE$2*_xlpm.n,$E$22:$N$22))</f>
        <v>0</v>
      </c>
      <c r="BF20" s="29" cm="1">
        <f t="array" ref="BF20">SUMPRODUCT($E$9:$N$9,$E$22:$N$22)</f>
        <v>0</v>
      </c>
      <c r="BG20" s="29" cm="1">
        <f t="array" ref="BG20">_xlfn.LET(_xlpm.n,IF($AX$5="✔",$AZ$5,0),SUMPRODUCT($E$9:$N$9+BG$2*_xlpm.n,$E$22:$N$22))</f>
        <v>0</v>
      </c>
      <c r="BH20" s="29" cm="1">
        <f t="array" ref="BH20">_xlfn.LET(_xlpm.n,IF($AX$5="✔",$AZ$5,0),SUMPRODUCT($E$9:$N$9+BH$2*_xlpm.n,$E$22:$N$22))</f>
        <v>0</v>
      </c>
      <c r="BI20" s="29" cm="1">
        <f t="array" ref="BI20">_xlfn.LET(_xlpm.n,IF($AX$5="✔",$AZ$5,0),SUMPRODUCT($E$9:$N$9+BI$2*_xlpm.n,$E$22:$N$22))</f>
        <v>0</v>
      </c>
      <c r="BJ20" s="29" cm="1">
        <f t="array" ref="BJ20">_xlfn.LET(_xlpm.n,IF($AX$5="✔",$AZ$5,0),SUMPRODUCT($E$9:$N$9+BJ$2*_xlpm.n,$E$22:$N$22))</f>
        <v>0</v>
      </c>
      <c r="BK20" s="29" cm="1">
        <f t="array" ref="BK20">_xlfn.LET(_xlpm.n,IF($AX$5="✔",$AZ$5,0),SUMPRODUCT($E$9:$N$9+BK$2*_xlpm.n,$E$22:$N$22))</f>
        <v>0</v>
      </c>
    </row>
    <row r="21" spans="1:63">
      <c r="A21" s="15"/>
      <c r="B21" s="16" t="s">
        <v>107</v>
      </c>
      <c r="C21" s="17" t="s">
        <v>108</v>
      </c>
      <c r="D21" s="17"/>
      <c r="E21" s="95">
        <v>200</v>
      </c>
      <c r="F21" s="95"/>
      <c r="G21" s="95"/>
      <c r="H21" s="95"/>
      <c r="I21" s="95"/>
      <c r="J21" s="95"/>
      <c r="K21" s="95"/>
      <c r="L21" s="95"/>
      <c r="M21" s="95"/>
      <c r="N21" s="95"/>
      <c r="Q21" s="90" t="s">
        <v>25</v>
      </c>
      <c r="R21" s="20">
        <f>$E$4*$H$7*$H$8*$H$9</f>
        <v>0</v>
      </c>
      <c r="S21" s="51" t="e">
        <f>SUM($V$41:$V$49)</f>
        <v>#DIV/0!</v>
      </c>
      <c r="T21" s="51" t="e">
        <f>SUM($V$50:$V$55)</f>
        <v>#DIV/0!</v>
      </c>
      <c r="U21" s="51" t="e">
        <f>SUM($V$56:$V$57)</f>
        <v>#DIV/0!</v>
      </c>
      <c r="V21" s="29" t="e">
        <f>MAX(0,V58-V59)</f>
        <v>#DIV/0!</v>
      </c>
      <c r="W21" s="51" t="e">
        <f t="shared" si="35"/>
        <v>#DIV/0!</v>
      </c>
      <c r="AE21" s="27"/>
      <c r="AF21" s="27"/>
      <c r="AG21" s="28"/>
      <c r="AH21" s="1" t="s">
        <v>109</v>
      </c>
      <c r="AI21" s="35"/>
      <c r="AJ21" s="29">
        <f t="shared" ref="AJ21:AU21" si="39">SUM(AJ5:AJ19)*$E$35/12*$E$27</f>
        <v>0</v>
      </c>
      <c r="AK21" s="29">
        <f t="shared" si="39"/>
        <v>0</v>
      </c>
      <c r="AL21" s="29">
        <f t="shared" si="39"/>
        <v>0</v>
      </c>
      <c r="AM21" s="29">
        <f t="shared" si="39"/>
        <v>0</v>
      </c>
      <c r="AN21" s="29">
        <f t="shared" si="39"/>
        <v>0</v>
      </c>
      <c r="AO21" s="29">
        <f t="shared" si="39"/>
        <v>0</v>
      </c>
      <c r="AP21" s="29">
        <f t="shared" si="39"/>
        <v>0</v>
      </c>
      <c r="AQ21" s="29">
        <f t="shared" si="39"/>
        <v>0</v>
      </c>
      <c r="AR21" s="29">
        <f t="shared" si="39"/>
        <v>0</v>
      </c>
      <c r="AS21" s="29">
        <f t="shared" si="39"/>
        <v>0</v>
      </c>
      <c r="AT21" s="29">
        <f t="shared" si="39"/>
        <v>0</v>
      </c>
      <c r="AU21" s="29">
        <f t="shared" si="39"/>
        <v>0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0</v>
      </c>
      <c r="BB21" s="29" cm="1">
        <f t="array" ref="BB21">_xlfn.LET(_xlpm.n,IF($AX$5="✔",$AZ$5,0),SUMPRODUCT($E$9:$N$9+BB$2*_xlpm.n,$E$23:$N$23))</f>
        <v>0</v>
      </c>
      <c r="BC21" s="29" cm="1">
        <f t="array" ref="BC21">_xlfn.LET(_xlpm.n,IF($AX$5="✔",$AZ$5,0),SUMPRODUCT($E$9:$N$9+BC$2*_xlpm.n,$E$23:$N$23))</f>
        <v>0</v>
      </c>
      <c r="BD21" s="29" cm="1">
        <f t="array" ref="BD21">_xlfn.LET(_xlpm.n,IF($AX$5="✔",$AZ$5,0),SUMPRODUCT($E$9:$N$9+BD$2*_xlpm.n,$E$23:$N$23))</f>
        <v>0</v>
      </c>
      <c r="BE21" s="29" cm="1">
        <f t="array" ref="BE21">_xlfn.LET(_xlpm.n,IF($AX$5="✔",$AZ$5,0),SUMPRODUCT($E$9:$N$9+BE$2*_xlpm.n,$E$23:$N$23))</f>
        <v>0</v>
      </c>
      <c r="BF21" s="29" cm="1">
        <f t="array" ref="BF21">SUMPRODUCT($E$9:$N$9,$E$23:$N$23)</f>
        <v>0</v>
      </c>
      <c r="BG21" s="29" cm="1">
        <f t="array" ref="BG21">_xlfn.LET(_xlpm.n,IF($AX$5="✔",$AZ$5,0),SUMPRODUCT($E$9:$N$9+BG$2*_xlpm.n,$E$23:$N$23))</f>
        <v>0</v>
      </c>
      <c r="BH21" s="29" cm="1">
        <f t="array" ref="BH21">_xlfn.LET(_xlpm.n,IF($AX$5="✔",$AZ$5,0),SUMPRODUCT($E$9:$N$9+BH$2*_xlpm.n,$E$23:$N$23))</f>
        <v>0</v>
      </c>
      <c r="BI21" s="29" cm="1">
        <f t="array" ref="BI21">_xlfn.LET(_xlpm.n,IF($AX$5="✔",$AZ$5,0),SUMPRODUCT($E$9:$N$9+BI$2*_xlpm.n,$E$23:$N$23))</f>
        <v>0</v>
      </c>
      <c r="BJ21" s="29" cm="1">
        <f t="array" ref="BJ21">_xlfn.LET(_xlpm.n,IF($AX$5="✔",$AZ$5,0),SUMPRODUCT($E$9:$N$9+BJ$2*_xlpm.n,$E$23:$N$23))</f>
        <v>0</v>
      </c>
      <c r="BK21" s="29" cm="1">
        <f t="array" ref="BK21">_xlfn.LET(_xlpm.n,IF($AX$5="✔",$AZ$5,0),SUMPRODUCT($E$9:$N$9+BK$2*_xlpm.n,$E$23:$N$23))</f>
        <v>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95"/>
      <c r="F22" s="98"/>
      <c r="G22" s="98"/>
      <c r="H22" s="98"/>
      <c r="I22" s="98"/>
      <c r="J22" s="98"/>
      <c r="K22" s="98"/>
      <c r="L22" s="98"/>
      <c r="M22" s="98"/>
      <c r="N22" s="98"/>
      <c r="Q22" s="90" t="s">
        <v>26</v>
      </c>
      <c r="R22" s="20">
        <f>$E$4*$I$7*$I$8*$I$9</f>
        <v>0</v>
      </c>
      <c r="S22" s="51" t="e">
        <f>SUM($W$41:$W$49)</f>
        <v>#DIV/0!</v>
      </c>
      <c r="T22" s="51" t="e">
        <f>SUM($W$50:$W$55)</f>
        <v>#DIV/0!</v>
      </c>
      <c r="U22" s="51" t="e">
        <f>SUM($W$56:$W$57)</f>
        <v>#DIV/0!</v>
      </c>
      <c r="V22" s="29" t="e">
        <f>MAX(0,W58-W59)</f>
        <v>#DIV/0!</v>
      </c>
      <c r="W22" s="51" t="e">
        <f t="shared" si="35"/>
        <v>#DIV/0!</v>
      </c>
      <c r="AE22" s="27"/>
      <c r="AF22" s="37"/>
      <c r="AG22" s="53" t="s">
        <v>17</v>
      </c>
      <c r="AH22" s="54" t="s">
        <v>112</v>
      </c>
      <c r="AI22" s="55"/>
      <c r="AJ22" s="55">
        <f t="shared" ref="AJ22:AU22" si="40">AJ3*0.09/1.09</f>
        <v>0</v>
      </c>
      <c r="AK22" s="55">
        <f t="shared" si="40"/>
        <v>0</v>
      </c>
      <c r="AL22" s="55">
        <f t="shared" si="40"/>
        <v>0</v>
      </c>
      <c r="AM22" s="55">
        <f t="shared" si="40"/>
        <v>0</v>
      </c>
      <c r="AN22" s="55">
        <f t="shared" si="40"/>
        <v>0</v>
      </c>
      <c r="AO22" s="55">
        <f t="shared" si="40"/>
        <v>0</v>
      </c>
      <c r="AP22" s="55">
        <f t="shared" si="40"/>
        <v>0</v>
      </c>
      <c r="AQ22" s="55">
        <f t="shared" si="40"/>
        <v>0</v>
      </c>
      <c r="AR22" s="55">
        <f t="shared" si="40"/>
        <v>0</v>
      </c>
      <c r="AS22" s="55">
        <f t="shared" si="40"/>
        <v>0</v>
      </c>
      <c r="AT22" s="55">
        <f t="shared" si="40"/>
        <v>0</v>
      </c>
      <c r="AU22" s="55">
        <f t="shared" si="40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95"/>
      <c r="F23" s="98"/>
      <c r="G23" s="98"/>
      <c r="H23" s="98"/>
      <c r="I23" s="98"/>
      <c r="J23" s="98"/>
      <c r="K23" s="98"/>
      <c r="L23" s="98"/>
      <c r="M23" s="98"/>
      <c r="N23" s="98"/>
      <c r="Q23" s="90" t="s">
        <v>27</v>
      </c>
      <c r="R23" s="20">
        <f>$E$4*$J$7*$J$8*$J$9</f>
        <v>0</v>
      </c>
      <c r="S23" s="51" t="e">
        <f>SUM($X$41:$X$49)</f>
        <v>#DIV/0!</v>
      </c>
      <c r="T23" s="51" t="e">
        <f>SUM($X$50:$X$55)</f>
        <v>#DIV/0!</v>
      </c>
      <c r="U23" s="51" t="e">
        <f>SUM($X$56:$X$57)</f>
        <v>#DIV/0!</v>
      </c>
      <c r="V23" s="29" t="e">
        <f>MAX(0,X58-X59)</f>
        <v>#DIV/0!</v>
      </c>
      <c r="W23" s="51" t="e">
        <f t="shared" si="35"/>
        <v>#DIV/0!</v>
      </c>
      <c r="AE23" s="27"/>
      <c r="AF23" s="27"/>
      <c r="AG23" s="28"/>
      <c r="AH23" s="56" t="s">
        <v>115</v>
      </c>
      <c r="AI23" s="57">
        <f>AI4*0.13/1.13</f>
        <v>0</v>
      </c>
      <c r="AJ23" s="57">
        <f t="shared" ref="AJ23:AU23" si="41">(AJ5+AJ18+AJ19)*0.13/1.13+AJ10*0.06/1.06</f>
        <v>0</v>
      </c>
      <c r="AK23" s="57">
        <f t="shared" si="41"/>
        <v>0</v>
      </c>
      <c r="AL23" s="57">
        <f t="shared" si="41"/>
        <v>0</v>
      </c>
      <c r="AM23" s="57">
        <f t="shared" si="41"/>
        <v>0</v>
      </c>
      <c r="AN23" s="57">
        <f t="shared" si="41"/>
        <v>0</v>
      </c>
      <c r="AO23" s="57">
        <f t="shared" si="41"/>
        <v>0</v>
      </c>
      <c r="AP23" s="57">
        <f t="shared" si="41"/>
        <v>0</v>
      </c>
      <c r="AQ23" s="57">
        <f t="shared" si="41"/>
        <v>0</v>
      </c>
      <c r="AR23" s="57">
        <f t="shared" si="41"/>
        <v>0</v>
      </c>
      <c r="AS23" s="57">
        <f t="shared" si="41"/>
        <v>0</v>
      </c>
      <c r="AT23" s="57">
        <f t="shared" si="41"/>
        <v>0</v>
      </c>
      <c r="AU23" s="57">
        <f t="shared" si="41"/>
        <v>0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0</v>
      </c>
      <c r="BB23" s="29" cm="1">
        <f t="array" ref="BB23">_xlfn.LET(_xlpm.n,IF($AX$5="✔",$AZ$5,0),SUMPRODUCT($E$9:$N$9+BB$2*_xlpm.n,$E$25:$N$25))</f>
        <v>0</v>
      </c>
      <c r="BC23" s="29" cm="1">
        <f t="array" ref="BC23">_xlfn.LET(_xlpm.n,IF($AX$5="✔",$AZ$5,0),SUMPRODUCT($E$9:$N$9+BC$2*_xlpm.n,$E$25:$N$25))</f>
        <v>0</v>
      </c>
      <c r="BD23" s="29" cm="1">
        <f t="array" ref="BD23">_xlfn.LET(_xlpm.n,IF($AX$5="✔",$AZ$5,0),SUMPRODUCT($E$9:$N$9+BD$2*_xlpm.n,$E$25:$N$25))</f>
        <v>0</v>
      </c>
      <c r="BE23" s="29" cm="1">
        <f t="array" ref="BE23">_xlfn.LET(_xlpm.n,IF($AX$5="✔",$AZ$5,0),SUMPRODUCT($E$9:$N$9+BE$2*_xlpm.n,$E$25:$N$25))</f>
        <v>0</v>
      </c>
      <c r="BF23" s="29" cm="1">
        <f t="array" ref="BF23">SUMPRODUCT($E$9:$N$9,$E$25:$N$25)</f>
        <v>0</v>
      </c>
      <c r="BG23" s="29" cm="1">
        <f t="array" ref="BG23">_xlfn.LET(_xlpm.n,IF($AX$5="✔",$AZ$5,0),SUMPRODUCT($E$9:$N$9+BG$2*_xlpm.n,$E$25:$N$25))</f>
        <v>0</v>
      </c>
      <c r="BH23" s="29" cm="1">
        <f t="array" ref="BH23">_xlfn.LET(_xlpm.n,IF($AX$5="✔",$AZ$5,0),SUMPRODUCT($E$9:$N$9+BH$2*_xlpm.n,$E$25:$N$25))</f>
        <v>0</v>
      </c>
      <c r="BI23" s="29" cm="1">
        <f t="array" ref="BI23">_xlfn.LET(_xlpm.n,IF($AX$5="✔",$AZ$5,0),SUMPRODUCT($E$9:$N$9+BI$2*_xlpm.n,$E$25:$N$25))</f>
        <v>0</v>
      </c>
      <c r="BJ23" s="29" cm="1">
        <f t="array" ref="BJ23">_xlfn.LET(_xlpm.n,IF($AX$5="✔",$AZ$5,0),SUMPRODUCT($E$9:$N$9+BJ$2*_xlpm.n,$E$25:$N$25))</f>
        <v>0</v>
      </c>
      <c r="BK23" s="29" cm="1">
        <f t="array" ref="BK23">_xlfn.LET(_xlpm.n,IF($AX$5="✔",$AZ$5,0),SUMPRODUCT($E$9:$N$9+BK$2*_xlpm.n,$E$25:$N$25))</f>
        <v>0</v>
      </c>
    </row>
    <row r="24" spans="1:63">
      <c r="A24" s="15"/>
      <c r="B24" s="16" t="s">
        <v>116</v>
      </c>
      <c r="C24" s="17" t="s">
        <v>117</v>
      </c>
      <c r="D24" s="17"/>
      <c r="E24" s="95"/>
      <c r="F24" s="98"/>
      <c r="G24" s="98"/>
      <c r="H24" s="98"/>
      <c r="I24" s="98"/>
      <c r="J24" s="98"/>
      <c r="K24" s="98"/>
      <c r="L24" s="98"/>
      <c r="M24" s="98"/>
      <c r="N24" s="98"/>
      <c r="Q24" s="90" t="s">
        <v>28</v>
      </c>
      <c r="R24" s="20">
        <f>$E$4*$K$7*$K$8*$K$9</f>
        <v>0</v>
      </c>
      <c r="S24" s="51" t="e">
        <f>SUM($Y$41:$Y$49)</f>
        <v>#DIV/0!</v>
      </c>
      <c r="T24" s="51" t="e">
        <f>SUM($Y$50:$Y$55)</f>
        <v>#DIV/0!</v>
      </c>
      <c r="U24" s="51" t="e">
        <f>SUM($Y$56:$Y$57)</f>
        <v>#DIV/0!</v>
      </c>
      <c r="V24" s="29" t="e">
        <f>MAX(0,Y58-Y59)</f>
        <v>#DIV/0!</v>
      </c>
      <c r="W24" s="51" t="e">
        <f t="shared" si="35"/>
        <v>#DIV/0!</v>
      </c>
      <c r="AE24" s="27"/>
      <c r="AF24" s="27"/>
      <c r="AG24" s="22"/>
      <c r="AH24" s="50" t="s">
        <v>118</v>
      </c>
      <c r="AI24" s="24">
        <f t="shared" ref="AI24:AU24" si="42">AI22-AI23</f>
        <v>0</v>
      </c>
      <c r="AJ24" s="24">
        <f t="shared" si="42"/>
        <v>0</v>
      </c>
      <c r="AK24" s="24">
        <f t="shared" si="42"/>
        <v>0</v>
      </c>
      <c r="AL24" s="24">
        <f t="shared" si="42"/>
        <v>0</v>
      </c>
      <c r="AM24" s="24">
        <f t="shared" si="42"/>
        <v>0</v>
      </c>
      <c r="AN24" s="24">
        <f t="shared" si="42"/>
        <v>0</v>
      </c>
      <c r="AO24" s="24">
        <f t="shared" si="42"/>
        <v>0</v>
      </c>
      <c r="AP24" s="24">
        <f t="shared" si="42"/>
        <v>0</v>
      </c>
      <c r="AQ24" s="24">
        <f t="shared" si="42"/>
        <v>0</v>
      </c>
      <c r="AR24" s="24">
        <f t="shared" si="42"/>
        <v>0</v>
      </c>
      <c r="AS24" s="24">
        <f t="shared" si="42"/>
        <v>0</v>
      </c>
      <c r="AT24" s="24">
        <f t="shared" si="42"/>
        <v>0</v>
      </c>
      <c r="AU24" s="24">
        <f t="shared" si="42"/>
        <v>0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0</v>
      </c>
      <c r="BB24" s="29" cm="1">
        <f t="array" ref="BB24">_xlfn.LET(_xlpm.n,IF($AX$5="✔",$AZ$5,0),BB$3*SUMPRODUCT(IF($E$8:$N$8,BB$7,$E$33),$E$6:$N$6,$E$9:$N$9+BB$2*_xlpm.n))</f>
        <v>0</v>
      </c>
      <c r="BC24" s="29" cm="1">
        <f t="array" ref="BC24">_xlfn.LET(_xlpm.n,IF($AX$5="✔",$AZ$5,0),BC$3*SUMPRODUCT(IF($E$8:$N$8,BC$7,$E$33),$E$6:$N$6,$E$9:$N$9+BC$2*_xlpm.n))</f>
        <v>0</v>
      </c>
      <c r="BD24" s="29" cm="1">
        <f t="array" ref="BD24">_xlfn.LET(_xlpm.n,IF($AX$5="✔",$AZ$5,0),BD$3*SUMPRODUCT(IF($E$8:$N$8,BD$7,$E$33),$E$6:$N$6,$E$9:$N$9+BD$2*_xlpm.n))</f>
        <v>0</v>
      </c>
      <c r="BE24" s="29" cm="1">
        <f t="array" ref="BE24">_xlfn.LET(_xlpm.n,IF($AX$5="✔",$AZ$5,0),BE$3*SUMPRODUCT(IF($E$8:$N$8,BE$7,$E$33),$E$6:$N$6,$E$9:$N$9+BE$2*_xlpm.n))</f>
        <v>0</v>
      </c>
      <c r="BF24" s="29" cm="1">
        <f t="array" ref="BF24">$E$5*SUMPRODUCT(IF($E$8:$N$8,$E$32,$E$33),$E$6:$N$6,$E$9:$N$9)</f>
        <v>0</v>
      </c>
      <c r="BG24" s="29" cm="1">
        <f t="array" ref="BG24">_xlfn.LET(_xlpm.n,IF($AX$5="✔",$AZ$5,0),BG$3*SUMPRODUCT(IF($E$8:$N$8,BG$7,$E$33),$E$6:$N$6,$E$9:$N$9+BG$2*_xlpm.n))</f>
        <v>0</v>
      </c>
      <c r="BH24" s="29" cm="1">
        <f t="array" ref="BH24">_xlfn.LET(_xlpm.n,IF($AX$5="✔",$AZ$5,0),BH$3*SUMPRODUCT(IF($E$8:$N$8,BH$7,$E$33),$E$6:$N$6,$E$9:$N$9+BH$2*_xlpm.n))</f>
        <v>0</v>
      </c>
      <c r="BI24" s="29" cm="1">
        <f t="array" ref="BI24">_xlfn.LET(_xlpm.n,IF($AX$5="✔",$AZ$5,0),BI$3*SUMPRODUCT(IF($E$8:$N$8,BI$7,$E$33),$E$6:$N$6,$E$9:$N$9+BI$2*_xlpm.n))</f>
        <v>0</v>
      </c>
      <c r="BJ24" s="29" cm="1">
        <f t="array" ref="BJ24">_xlfn.LET(_xlpm.n,IF($AX$5="✔",$AZ$5,0),BJ$3*SUMPRODUCT(IF($E$8:$N$8,BJ$7,$E$33),$E$6:$N$6,$E$9:$N$9+BJ$2*_xlpm.n))</f>
        <v>0</v>
      </c>
      <c r="BK24" s="29" cm="1">
        <f t="array" ref="BK24">_xlfn.LET(_xlpm.n,IF($AX$5="✔",$AZ$5,0),BK$3*SUMPRODUCT(IF($E$8:$N$8,BK$7,$E$33),$E$6:$N$6,$E$9:$N$9+BK$2*_xlpm.n))</f>
        <v>0</v>
      </c>
    </row>
    <row r="25" ht="16.5" spans="1:63">
      <c r="A25" s="15"/>
      <c r="B25" s="16" t="s">
        <v>119</v>
      </c>
      <c r="C25" s="17" t="s">
        <v>120</v>
      </c>
      <c r="D25" s="17"/>
      <c r="E25" s="95"/>
      <c r="F25" s="98"/>
      <c r="G25" s="98"/>
      <c r="H25" s="98"/>
      <c r="I25" s="98"/>
      <c r="J25" s="98"/>
      <c r="K25" s="98"/>
      <c r="L25" s="98"/>
      <c r="M25" s="98"/>
      <c r="N25" s="98"/>
      <c r="Q25" s="90" t="s">
        <v>29</v>
      </c>
      <c r="R25" s="20">
        <f>$E$4*$L$7*$L$8*$L$9</f>
        <v>0</v>
      </c>
      <c r="S25" s="51" t="e">
        <f>SUM($Z$41:$Z$49)</f>
        <v>#DIV/0!</v>
      </c>
      <c r="T25" s="51" t="e">
        <f>SUM($Z$50:$Z$55)</f>
        <v>#DIV/0!</v>
      </c>
      <c r="U25" s="51" t="e">
        <f>SUM($Z$56:$Z$57)</f>
        <v>#DIV/0!</v>
      </c>
      <c r="V25" s="29" t="e">
        <f>MAX(0,Z58-Z59)</f>
        <v>#DIV/0!</v>
      </c>
      <c r="W25" s="51" t="e">
        <f t="shared" si="35"/>
        <v>#DIV/0!</v>
      </c>
      <c r="AE25" s="33"/>
      <c r="AF25" s="33"/>
      <c r="AG25" s="48" t="s">
        <v>121</v>
      </c>
      <c r="AH25" s="48"/>
      <c r="AI25" s="58">
        <f>-AI4+AI24</f>
        <v>0</v>
      </c>
      <c r="AJ25" s="58">
        <f t="shared" ref="AJ25:AU25" si="43">AJ3-SUM(AJ5:AJ21)-AJ24</f>
        <v>0</v>
      </c>
      <c r="AK25" s="58">
        <f t="shared" si="43"/>
        <v>0</v>
      </c>
      <c r="AL25" s="58">
        <f t="shared" si="43"/>
        <v>0</v>
      </c>
      <c r="AM25" s="58">
        <f t="shared" si="43"/>
        <v>0</v>
      </c>
      <c r="AN25" s="58">
        <f t="shared" si="43"/>
        <v>0</v>
      </c>
      <c r="AO25" s="58">
        <f t="shared" si="43"/>
        <v>0</v>
      </c>
      <c r="AP25" s="58">
        <f t="shared" si="43"/>
        <v>0</v>
      </c>
      <c r="AQ25" s="58">
        <f t="shared" si="43"/>
        <v>0</v>
      </c>
      <c r="AR25" s="58">
        <f t="shared" si="43"/>
        <v>0</v>
      </c>
      <c r="AS25" s="58">
        <f t="shared" si="43"/>
        <v>0</v>
      </c>
      <c r="AT25" s="58">
        <f t="shared" si="43"/>
        <v>0</v>
      </c>
      <c r="AU25" s="58">
        <f t="shared" si="43"/>
        <v>0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0</v>
      </c>
      <c r="BB25" s="24" cm="1">
        <f t="array" ref="BB25">_xlfn.LET(_xlpm.n,IF($AX$5="✔",$AZ$5,0),SUMPRODUCT($E$6:$N$6,$E$9:$N$9+BB$2*_xlpm.n)/$E$29*$E$30*$E$31)</f>
        <v>0</v>
      </c>
      <c r="BC25" s="24" cm="1">
        <f t="array" ref="BC25">_xlfn.LET(_xlpm.n,IF($AX$5="✔",$AZ$5,0),SUMPRODUCT($E$6:$N$6,$E$9:$N$9+BC$2*_xlpm.n)/$E$29*$E$30*$E$31)</f>
        <v>0</v>
      </c>
      <c r="BD25" s="24" cm="1">
        <f t="array" ref="BD25">_xlfn.LET(_xlpm.n,IF($AX$5="✔",$AZ$5,0),SUMPRODUCT($E$6:$N$6,$E$9:$N$9+BD$2*_xlpm.n)/$E$29*$E$30*$E$31)</f>
        <v>0</v>
      </c>
      <c r="BE25" s="24" cm="1">
        <f t="array" ref="BE25">_xlfn.LET(_xlpm.n,IF($AX$5="✔",$AZ$5,0),SUMPRODUCT($E$6:$N$6,$E$9:$N$9+BE$2*_xlpm.n)/$E$29*$E$30*$E$31)</f>
        <v>0</v>
      </c>
      <c r="BF25" s="24" cm="1">
        <f t="array" ref="BF25">SUMPRODUCT($E$6:$N$6,$E$9:$N$9)/$E$29*$E$30*$E$31</f>
        <v>0</v>
      </c>
      <c r="BG25" s="24" cm="1">
        <f t="array" ref="BG25">_xlfn.LET(_xlpm.n,IF($AX$5="✔",$AZ$5,0),SUMPRODUCT($E$6:$N$6,$E$9:$N$9+BG$2*_xlpm.n)/$E$29*$E$30*$E$31)</f>
        <v>0</v>
      </c>
      <c r="BH25" s="24" cm="1">
        <f t="array" ref="BH25">_xlfn.LET(_xlpm.n,IF($AX$5="✔",$AZ$5,0),SUMPRODUCT($E$6:$N$6,$E$9:$N$9+BH$2*_xlpm.n)/$E$29*$E$30*$E$31)</f>
        <v>0</v>
      </c>
      <c r="BI25" s="24" cm="1">
        <f t="array" ref="BI25">_xlfn.LET(_xlpm.n,IF($AX$5="✔",$AZ$5,0),SUMPRODUCT($E$6:$N$6,$E$9:$N$9+BI$2*_xlpm.n)/$E$29*$E$30*$E$31)</f>
        <v>0</v>
      </c>
      <c r="BJ25" s="24" cm="1">
        <f t="array" ref="BJ25">_xlfn.LET(_xlpm.n,IF($AX$5="✔",$AZ$5,0),SUMPRODUCT($E$6:$N$6,$E$9:$N$9+BJ$2*_xlpm.n)/$E$29*$E$30*$E$31)</f>
        <v>0</v>
      </c>
      <c r="BK25" s="24" cm="1">
        <f t="array" ref="BK25">_xlfn.LET(_xlpm.n,IF($AX$5="✔",$AZ$5,0),SUMPRODUCT($E$6:$N$6,$E$9:$N$9+BK$2*_xlpm.n)/$E$29*$E$30*$E$31)</f>
        <v>0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89"/>
      <c r="F26" s="89"/>
      <c r="G26" s="89"/>
      <c r="H26" s="89"/>
      <c r="I26" s="89"/>
      <c r="J26" s="89"/>
      <c r="K26" s="89"/>
      <c r="L26" s="89"/>
      <c r="M26" s="89"/>
      <c r="N26" s="89"/>
      <c r="Q26" s="90" t="s">
        <v>30</v>
      </c>
      <c r="R26" s="20">
        <f>$E$4*$M$7*$M$8*$M$9</f>
        <v>0</v>
      </c>
      <c r="S26" s="51" t="e">
        <f>SUM($Z$41:$Z$49)</f>
        <v>#DIV/0!</v>
      </c>
      <c r="T26" s="51" t="e">
        <f>SUM($AA$50:$AA$55)</f>
        <v>#DIV/0!</v>
      </c>
      <c r="U26" s="51" t="e">
        <f>SUM($AA$56:$AA$57)</f>
        <v>#DIV/0!</v>
      </c>
      <c r="V26" s="29" t="e">
        <f>MAX(0,AA58-AA59)</f>
        <v>#DIV/0!</v>
      </c>
      <c r="W26" s="51" t="e">
        <f t="shared" si="35"/>
        <v>#DIV/0!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0</v>
      </c>
      <c r="AK26" s="58">
        <f>SUM($AI$25:AK25)</f>
        <v>0</v>
      </c>
      <c r="AL26" s="58">
        <f>SUM($AI$25:AL25)</f>
        <v>0</v>
      </c>
      <c r="AM26" s="58">
        <f>SUM($AI$25:AM25)</f>
        <v>0</v>
      </c>
      <c r="AN26" s="58">
        <f>SUM($AI$25:AN25)</f>
        <v>0</v>
      </c>
      <c r="AO26" s="58">
        <f>SUM($AI$25:AO25)</f>
        <v>0</v>
      </c>
      <c r="AP26" s="58">
        <f>SUM($AI$25:AP25)</f>
        <v>0</v>
      </c>
      <c r="AQ26" s="58">
        <f>SUM($AI$25:AQ25)</f>
        <v>0</v>
      </c>
      <c r="AR26" s="58">
        <f>SUM($AI$25:AR25)</f>
        <v>0</v>
      </c>
      <c r="AS26" s="58">
        <f>SUM($AI$25:AS25)</f>
        <v>0</v>
      </c>
      <c r="AT26" s="58">
        <f>SUM($AI$25:AT25)</f>
        <v>0</v>
      </c>
      <c r="AU26" s="58">
        <f>SUM($AI$25:AU25)</f>
        <v>0</v>
      </c>
      <c r="AX26" s="28" t="s">
        <v>16</v>
      </c>
      <c r="AY26" s="28"/>
      <c r="AZ26" s="35" t="s">
        <v>106</v>
      </c>
      <c r="BA26" s="29">
        <f t="shared" ref="BA26:BK26" si="44">BA9*$E$34/12*$E$26</f>
        <v>0</v>
      </c>
      <c r="BB26" s="29">
        <f t="shared" si="44"/>
        <v>0</v>
      </c>
      <c r="BC26" s="29">
        <f t="shared" si="44"/>
        <v>0</v>
      </c>
      <c r="BD26" s="29">
        <f t="shared" si="44"/>
        <v>0</v>
      </c>
      <c r="BE26" s="29">
        <f t="shared" si="44"/>
        <v>0</v>
      </c>
      <c r="BF26" s="29">
        <f t="shared" si="44"/>
        <v>0</v>
      </c>
      <c r="BG26" s="29">
        <f t="shared" si="44"/>
        <v>0</v>
      </c>
      <c r="BH26" s="29">
        <f t="shared" si="44"/>
        <v>0</v>
      </c>
      <c r="BI26" s="29">
        <f t="shared" si="44"/>
        <v>0</v>
      </c>
      <c r="BJ26" s="29">
        <f t="shared" si="44"/>
        <v>0</v>
      </c>
      <c r="BK26" s="29">
        <f t="shared" si="44"/>
        <v>0</v>
      </c>
    </row>
    <row r="27" spans="1:63">
      <c r="A27" s="15"/>
      <c r="B27" s="16" t="s">
        <v>125</v>
      </c>
      <c r="C27" s="17" t="s">
        <v>126</v>
      </c>
      <c r="D27" s="17"/>
      <c r="E27" s="89">
        <v>1</v>
      </c>
      <c r="F27" s="89"/>
      <c r="G27" s="89"/>
      <c r="H27" s="89"/>
      <c r="I27" s="89"/>
      <c r="J27" s="89"/>
      <c r="K27" s="89"/>
      <c r="L27" s="89"/>
      <c r="M27" s="89"/>
      <c r="N27" s="89"/>
      <c r="Q27" s="90" t="s">
        <v>31</v>
      </c>
      <c r="R27" s="20">
        <f>$E$4*$N$7*$N$8*$N$9</f>
        <v>0</v>
      </c>
      <c r="S27" s="51" t="e">
        <f>SUM($AB$41:$AB$49)</f>
        <v>#DIV/0!</v>
      </c>
      <c r="T27" s="51" t="e">
        <f>SUM($AB$50:$AB$55)</f>
        <v>#DIV/0!</v>
      </c>
      <c r="U27" s="51" t="e">
        <f>SUM($AB$56:$AB$57)</f>
        <v>#DIV/0!</v>
      </c>
      <c r="V27" s="29" t="e">
        <f>MAX(0,AB58-AB59)</f>
        <v>#DIV/0!</v>
      </c>
      <c r="W27" s="51" t="e">
        <f t="shared" si="35"/>
        <v>#DIV/0!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 t="e">
        <f t="shared" ref="BA27:BE27" si="45">(BA$6*12/$E$10+SUM(BA12:BA25))*$E$35/12*$E$27</f>
        <v>#DIV/0!</v>
      </c>
      <c r="BB27" s="29" t="e">
        <f t="shared" si="45"/>
        <v>#DIV/0!</v>
      </c>
      <c r="BC27" s="29" t="e">
        <f t="shared" si="45"/>
        <v>#DIV/0!</v>
      </c>
      <c r="BD27" s="29" t="e">
        <f t="shared" si="45"/>
        <v>#DIV/0!</v>
      </c>
      <c r="BE27" s="29" t="e">
        <f t="shared" si="45"/>
        <v>#DIV/0!</v>
      </c>
      <c r="BF27" s="29" t="e">
        <f>($E$13*12/$E$10+SUM(BF12:BF25))*$E$35/12*$E$27</f>
        <v>#DIV/0!</v>
      </c>
      <c r="BG27" s="29" t="e">
        <f t="shared" ref="BG27:BK27" si="46">(BG$6*12/$E$10+SUM(BG12:BG25))*$E$35/12*$E$27</f>
        <v>#DIV/0!</v>
      </c>
      <c r="BH27" s="29" t="e">
        <f t="shared" si="46"/>
        <v>#DIV/0!</v>
      </c>
      <c r="BI27" s="29" t="e">
        <f t="shared" si="46"/>
        <v>#DIV/0!</v>
      </c>
      <c r="BJ27" s="29" t="e">
        <f t="shared" si="46"/>
        <v>#DIV/0!</v>
      </c>
      <c r="BK27" s="29" t="e">
        <f t="shared" si="46"/>
        <v>#DIV/0!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99">
        <v>60</v>
      </c>
      <c r="F28" s="99"/>
      <c r="G28" s="99"/>
      <c r="H28" s="99"/>
      <c r="I28" s="99"/>
      <c r="J28" s="99"/>
      <c r="K28" s="99"/>
      <c r="L28" s="99"/>
      <c r="M28" s="99"/>
      <c r="N28" s="99"/>
      <c r="Q28" s="48" t="s">
        <v>84</v>
      </c>
      <c r="R28" s="49">
        <f t="shared" ref="R28:V28" si="47">SUM(R18:R27)</f>
        <v>0</v>
      </c>
      <c r="S28" s="49" t="e">
        <f t="shared" si="47"/>
        <v>#DIV/0!</v>
      </c>
      <c r="T28" s="49" t="e">
        <f t="shared" si="47"/>
        <v>#DIV/0!</v>
      </c>
      <c r="U28" s="49" t="e">
        <f t="shared" si="47"/>
        <v>#DIV/0!</v>
      </c>
      <c r="V28" s="49" t="e">
        <f t="shared" si="47"/>
        <v>#DIV/0!</v>
      </c>
      <c r="W28" s="49" t="e">
        <f t="shared" si="35"/>
        <v>#DIV/0!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K28" si="48">BA9*0.09/1.09</f>
        <v>0</v>
      </c>
      <c r="BB28" s="55">
        <f t="shared" si="48"/>
        <v>0</v>
      </c>
      <c r="BC28" s="55">
        <f t="shared" si="48"/>
        <v>0</v>
      </c>
      <c r="BD28" s="55">
        <f t="shared" si="48"/>
        <v>0</v>
      </c>
      <c r="BE28" s="55">
        <f t="shared" si="48"/>
        <v>0</v>
      </c>
      <c r="BF28" s="55">
        <f t="shared" si="48"/>
        <v>0</v>
      </c>
      <c r="BG28" s="55">
        <f t="shared" si="48"/>
        <v>0</v>
      </c>
      <c r="BH28" s="55">
        <f t="shared" si="48"/>
        <v>0</v>
      </c>
      <c r="BI28" s="55">
        <f t="shared" si="48"/>
        <v>0</v>
      </c>
      <c r="BJ28" s="55">
        <f t="shared" si="48"/>
        <v>0</v>
      </c>
      <c r="BK28" s="55">
        <f t="shared" si="48"/>
        <v>0</v>
      </c>
    </row>
    <row r="29" spans="1:63">
      <c r="A29" s="60"/>
      <c r="B29" s="61" t="s">
        <v>131</v>
      </c>
      <c r="C29" s="62" t="s">
        <v>132</v>
      </c>
      <c r="D29" s="62"/>
      <c r="E29" s="99">
        <v>80000</v>
      </c>
      <c r="F29" s="99"/>
      <c r="G29" s="99"/>
      <c r="H29" s="99"/>
      <c r="I29" s="99"/>
      <c r="J29" s="99"/>
      <c r="K29" s="99"/>
      <c r="L29" s="99"/>
      <c r="M29" s="99"/>
      <c r="N29" s="99"/>
      <c r="Q29" s="1" t="s">
        <v>133</v>
      </c>
      <c r="R29" s="1"/>
      <c r="AX29" s="28"/>
      <c r="AY29" s="28"/>
      <c r="AZ29" s="66" t="s">
        <v>115</v>
      </c>
      <c r="BA29" s="57" t="e">
        <f t="shared" ref="BA29:BK29" si="49">(BA11+BA24+BA25)*0.13/1.13+BA16*0.06/1.06</f>
        <v>#DIV/0!</v>
      </c>
      <c r="BB29" s="57" t="e">
        <f t="shared" si="49"/>
        <v>#DIV/0!</v>
      </c>
      <c r="BC29" s="57" t="e">
        <f t="shared" si="49"/>
        <v>#DIV/0!</v>
      </c>
      <c r="BD29" s="57" t="e">
        <f t="shared" si="49"/>
        <v>#DIV/0!</v>
      </c>
      <c r="BE29" s="57" t="e">
        <f t="shared" si="49"/>
        <v>#DIV/0!</v>
      </c>
      <c r="BF29" s="57" t="e">
        <f t="shared" si="49"/>
        <v>#DIV/0!</v>
      </c>
      <c r="BG29" s="57" t="e">
        <f t="shared" si="49"/>
        <v>#DIV/0!</v>
      </c>
      <c r="BH29" s="57" t="e">
        <f t="shared" si="49"/>
        <v>#DIV/0!</v>
      </c>
      <c r="BI29" s="57" t="e">
        <f t="shared" si="49"/>
        <v>#DIV/0!</v>
      </c>
      <c r="BJ29" s="57" t="e">
        <f t="shared" si="49"/>
        <v>#DIV/0!</v>
      </c>
      <c r="BK29" s="57" t="e">
        <f t="shared" si="49"/>
        <v>#DIV/0!</v>
      </c>
    </row>
    <row r="30" spans="1:63">
      <c r="A30" s="60"/>
      <c r="B30" s="61" t="s">
        <v>134</v>
      </c>
      <c r="C30" s="62" t="s">
        <v>135</v>
      </c>
      <c r="D30" s="62"/>
      <c r="E30" s="99">
        <v>22</v>
      </c>
      <c r="F30" s="99"/>
      <c r="G30" s="99"/>
      <c r="H30" s="99"/>
      <c r="I30" s="99"/>
      <c r="J30" s="99"/>
      <c r="K30" s="99"/>
      <c r="L30" s="99"/>
      <c r="M30" s="99"/>
      <c r="N30" s="99"/>
      <c r="AE30" s="67"/>
      <c r="AF30" s="67"/>
      <c r="AX30" s="22"/>
      <c r="AY30" s="22"/>
      <c r="AZ30" s="23" t="s">
        <v>118</v>
      </c>
      <c r="BA30" s="24" t="e">
        <f t="shared" ref="BA30:BK30" si="50">MAX(0,BA28-BA29)</f>
        <v>#DIV/0!</v>
      </c>
      <c r="BB30" s="24" t="e">
        <f t="shared" si="50"/>
        <v>#DIV/0!</v>
      </c>
      <c r="BC30" s="24" t="e">
        <f t="shared" si="50"/>
        <v>#DIV/0!</v>
      </c>
      <c r="BD30" s="24" t="e">
        <f t="shared" si="50"/>
        <v>#DIV/0!</v>
      </c>
      <c r="BE30" s="24" t="e">
        <f t="shared" si="50"/>
        <v>#DIV/0!</v>
      </c>
      <c r="BF30" s="24" t="e">
        <f t="shared" si="50"/>
        <v>#DIV/0!</v>
      </c>
      <c r="BG30" s="24" t="e">
        <f t="shared" si="50"/>
        <v>#DIV/0!</v>
      </c>
      <c r="BH30" s="24" t="e">
        <f t="shared" si="50"/>
        <v>#DIV/0!</v>
      </c>
      <c r="BI30" s="24" t="e">
        <f t="shared" si="50"/>
        <v>#DIV/0!</v>
      </c>
      <c r="BJ30" s="24" t="e">
        <f t="shared" si="50"/>
        <v>#DIV/0!</v>
      </c>
      <c r="BK30" s="24" t="e">
        <f t="shared" si="50"/>
        <v>#DIV/0!</v>
      </c>
    </row>
    <row r="31" ht="16.5" spans="1:63">
      <c r="A31" s="60"/>
      <c r="B31" s="61" t="s">
        <v>136</v>
      </c>
      <c r="C31" s="62" t="s">
        <v>137</v>
      </c>
      <c r="D31" s="62"/>
      <c r="E31" s="99">
        <v>1100</v>
      </c>
      <c r="F31" s="99"/>
      <c r="G31" s="99"/>
      <c r="H31" s="99"/>
      <c r="I31" s="99"/>
      <c r="J31" s="99"/>
      <c r="K31" s="99"/>
      <c r="L31" s="99"/>
      <c r="M31" s="99"/>
      <c r="N31" s="99"/>
      <c r="AE31" s="29"/>
      <c r="AF31" s="29"/>
      <c r="AX31" s="44" t="s">
        <v>138</v>
      </c>
      <c r="AY31" s="44"/>
      <c r="AZ31" s="44"/>
      <c r="BA31" s="45" t="e">
        <f t="shared" ref="BA31:BK31" si="51">SUM(BA11:BA27)+MAX(0,BA28-BA29)</f>
        <v>#DIV/0!</v>
      </c>
      <c r="BB31" s="45" t="e">
        <f t="shared" si="51"/>
        <v>#DIV/0!</v>
      </c>
      <c r="BC31" s="45" t="e">
        <f t="shared" si="51"/>
        <v>#DIV/0!</v>
      </c>
      <c r="BD31" s="45" t="e">
        <f t="shared" si="51"/>
        <v>#DIV/0!</v>
      </c>
      <c r="BE31" s="45" t="e">
        <f t="shared" si="51"/>
        <v>#DIV/0!</v>
      </c>
      <c r="BF31" s="45" t="e">
        <f t="shared" si="51"/>
        <v>#DIV/0!</v>
      </c>
      <c r="BG31" s="45" t="e">
        <f t="shared" si="51"/>
        <v>#DIV/0!</v>
      </c>
      <c r="BH31" s="45" t="e">
        <f t="shared" si="51"/>
        <v>#DIV/0!</v>
      </c>
      <c r="BI31" s="45" t="e">
        <f t="shared" si="51"/>
        <v>#DIV/0!</v>
      </c>
      <c r="BJ31" s="45" t="e">
        <f t="shared" si="51"/>
        <v>#DIV/0!</v>
      </c>
      <c r="BK31" s="45" t="e">
        <f t="shared" si="51"/>
        <v>#DIV/0!</v>
      </c>
    </row>
    <row r="32" ht="16.5" spans="1:63">
      <c r="A32" s="60"/>
      <c r="B32" s="61" t="s">
        <v>65</v>
      </c>
      <c r="C32" s="62" t="s">
        <v>139</v>
      </c>
      <c r="D32" s="62"/>
      <c r="E32" s="99">
        <v>1.6</v>
      </c>
      <c r="F32" s="99"/>
      <c r="G32" s="99"/>
      <c r="H32" s="99"/>
      <c r="I32" s="99"/>
      <c r="J32" s="99"/>
      <c r="K32" s="99"/>
      <c r="L32" s="99"/>
      <c r="M32" s="99"/>
      <c r="N32" s="99"/>
      <c r="Q32" s="28"/>
      <c r="AE32" s="29"/>
      <c r="AF32" s="29"/>
      <c r="AX32" s="68" t="s">
        <v>140</v>
      </c>
      <c r="AY32" s="69"/>
      <c r="AZ32" s="69"/>
      <c r="BA32" s="70" t="e">
        <f t="shared" ref="BA32:BK32" si="52">BA9-BA31</f>
        <v>#DIV/0!</v>
      </c>
      <c r="BB32" s="70" t="e">
        <f t="shared" si="52"/>
        <v>#DIV/0!</v>
      </c>
      <c r="BC32" s="70" t="e">
        <f t="shared" si="52"/>
        <v>#DIV/0!</v>
      </c>
      <c r="BD32" s="70" t="e">
        <f t="shared" si="52"/>
        <v>#DIV/0!</v>
      </c>
      <c r="BE32" s="70" t="e">
        <f t="shared" si="52"/>
        <v>#DIV/0!</v>
      </c>
      <c r="BF32" s="70" t="e">
        <f t="shared" si="52"/>
        <v>#DIV/0!</v>
      </c>
      <c r="BG32" s="70" t="e">
        <f t="shared" si="52"/>
        <v>#DIV/0!</v>
      </c>
      <c r="BH32" s="70" t="e">
        <f t="shared" si="52"/>
        <v>#DIV/0!</v>
      </c>
      <c r="BI32" s="70" t="e">
        <f t="shared" si="52"/>
        <v>#DIV/0!</v>
      </c>
      <c r="BJ32" s="70" t="e">
        <f t="shared" si="52"/>
        <v>#DIV/0!</v>
      </c>
      <c r="BK32" s="70" t="e">
        <f t="shared" si="52"/>
        <v>#DIV/0!</v>
      </c>
    </row>
    <row r="33" spans="1:63">
      <c r="A33" s="60"/>
      <c r="B33" s="61" t="s">
        <v>141</v>
      </c>
      <c r="C33" s="62" t="s">
        <v>142</v>
      </c>
      <c r="D33" s="62"/>
      <c r="E33" s="99">
        <v>1.1</v>
      </c>
      <c r="F33" s="99"/>
      <c r="G33" s="99"/>
      <c r="H33" s="99"/>
      <c r="I33" s="99"/>
      <c r="J33" s="99"/>
      <c r="K33" s="99"/>
      <c r="L33" s="99"/>
      <c r="M33" s="99"/>
      <c r="N33" s="99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100">
        <v>0.04</v>
      </c>
      <c r="F34" s="100"/>
      <c r="G34" s="100"/>
      <c r="H34" s="100"/>
      <c r="I34" s="100"/>
      <c r="J34" s="100"/>
      <c r="K34" s="100"/>
      <c r="L34" s="100"/>
      <c r="M34" s="100"/>
      <c r="N34" s="100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101">
        <v>0.07</v>
      </c>
      <c r="F35" s="101"/>
      <c r="G35" s="101"/>
      <c r="H35" s="101"/>
      <c r="I35" s="101"/>
      <c r="J35" s="101"/>
      <c r="K35" s="101"/>
      <c r="L35" s="101"/>
      <c r="M35" s="101"/>
      <c r="N35" s="101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8" t="s">
        <v>20</v>
      </c>
      <c r="T38" s="88" t="s">
        <v>22</v>
      </c>
      <c r="U38" s="88" t="s">
        <v>24</v>
      </c>
      <c r="V38" s="88" t="s">
        <v>25</v>
      </c>
      <c r="W38" s="88" t="s">
        <v>26</v>
      </c>
      <c r="X38" s="88" t="s">
        <v>27</v>
      </c>
      <c r="Y38" s="88" t="s">
        <v>28</v>
      </c>
      <c r="Z38" s="88" t="s">
        <v>29</v>
      </c>
      <c r="AA38" s="88" t="s">
        <v>30</v>
      </c>
      <c r="AB38" s="8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53">$E$4*E$7*E$8*E$9</f>
        <v>0</v>
      </c>
      <c r="T39" s="20">
        <f t="shared" si="53"/>
        <v>0</v>
      </c>
      <c r="U39" s="20">
        <f t="shared" si="53"/>
        <v>0</v>
      </c>
      <c r="V39" s="20">
        <f t="shared" si="53"/>
        <v>0</v>
      </c>
      <c r="W39" s="20">
        <f t="shared" si="53"/>
        <v>0</v>
      </c>
      <c r="X39" s="20">
        <f t="shared" si="53"/>
        <v>0</v>
      </c>
      <c r="Y39" s="20">
        <f t="shared" si="53"/>
        <v>0</v>
      </c>
      <c r="Z39" s="20">
        <f t="shared" si="53"/>
        <v>0</v>
      </c>
      <c r="AA39" s="20">
        <f t="shared" si="53"/>
        <v>0</v>
      </c>
      <c r="AB39" s="20">
        <f t="shared" si="53"/>
        <v>0</v>
      </c>
      <c r="AC39" s="29" cm="1">
        <f t="array" ref="AC39">$E$4*(SUMPRODUCT($E$7:$N$7,$E$8:$N$8,$E$9:$N$9))</f>
        <v>0</v>
      </c>
      <c r="AD39" s="27" t="e">
        <f>AC39/$AC$40</f>
        <v>#DIV/0!</v>
      </c>
      <c r="AE39" s="29"/>
      <c r="AF39" s="73"/>
      <c r="AG39" s="22" t="s">
        <v>13</v>
      </c>
      <c r="AH39" s="23" t="s">
        <v>49</v>
      </c>
      <c r="AI39" s="23"/>
      <c r="AJ39" s="24" t="str" cm="1">
        <f t="array" ref="AJ39">IF($E$3="纯租赁",IF(AJ38*12&lt;=$E$12,$E$4*SUMPRODUCT($E$7:$N$7,$E$8:$N$8,$E$9:$N$9)*$E$10,""),IF(AJ38*12&lt;=$E$28,$E$4*SUMPRODUCT($E$7:$N$7,$E$8:$N$8,$E$9:$N$9)*$E$10,""))</f>
        <v/>
      </c>
      <c r="AK39" s="24" t="str" cm="1">
        <f t="array" ref="AK39">IF($E$3="纯租赁",IF(AK38*12&lt;=$E$12,$E$4*SUMPRODUCT($E$7:$N$7,$E$8:$N$8,$E$9:$N$9)*$E$10,""),IF(AK38*12&lt;=$E$28,$E$4*SUMPRODUCT($E$7:$N$7,$E$8:$N$8,$E$9:$N$9)*$E$10,""))</f>
        <v/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54">S39</f>
        <v>0</v>
      </c>
      <c r="T40" s="76">
        <f t="shared" si="54"/>
        <v>0</v>
      </c>
      <c r="U40" s="76">
        <f t="shared" si="54"/>
        <v>0</v>
      </c>
      <c r="V40" s="76">
        <f t="shared" si="54"/>
        <v>0</v>
      </c>
      <c r="W40" s="76">
        <f t="shared" si="54"/>
        <v>0</v>
      </c>
      <c r="X40" s="76">
        <f t="shared" si="54"/>
        <v>0</v>
      </c>
      <c r="Y40" s="76">
        <f t="shared" si="54"/>
        <v>0</v>
      </c>
      <c r="Z40" s="76">
        <f t="shared" si="54"/>
        <v>0</v>
      </c>
      <c r="AA40" s="76">
        <f t="shared" si="54"/>
        <v>0</v>
      </c>
      <c r="AB40" s="76">
        <f t="shared" si="54"/>
        <v>0</v>
      </c>
      <c r="AC40" s="77">
        <f t="shared" si="54"/>
        <v>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t="e" cm="1">
        <f t="array" ref="S41">$AC41*E$6*E$9/(SUMPRODUCT($E$6:$N$6,$E$9:$N$9))</f>
        <v>#DIV/0!</v>
      </c>
      <c r="T41" s="29" t="e" cm="1">
        <f t="array" ref="T41">$AC41*F$6*F$9/(SUMPRODUCT($E$6:$N$6,$E$9:$N$9))</f>
        <v>#DIV/0!</v>
      </c>
      <c r="U41" s="29" t="e" cm="1">
        <f t="array" ref="U41">$AC41*G$6*G$9/(SUMPRODUCT($E$6:$N$6,$E$9:$N$9))</f>
        <v>#DIV/0!</v>
      </c>
      <c r="V41" s="29" t="e" cm="1">
        <f t="array" ref="V41">$AC41*H$6*H$9/(SUMPRODUCT($E$6:$N$6,$E$9:$N$9))</f>
        <v>#DIV/0!</v>
      </c>
      <c r="W41" s="29" t="e" cm="1">
        <f t="array" ref="W41">$AC41*I$6*I$9/(SUMPRODUCT($E$6:$N$6,$E$9:$N$9))</f>
        <v>#DIV/0!</v>
      </c>
      <c r="X41" s="29" t="e" cm="1">
        <f t="array" ref="X41">$AC41*J$6*J$9/(SUMPRODUCT($E$6:$N$6,$E$9:$N$9))</f>
        <v>#DIV/0!</v>
      </c>
      <c r="Y41" s="29" t="e" cm="1">
        <f t="array" ref="Y41">$AC41*K$6*K$9/(SUMPRODUCT($E$6:$N$6,$E$9:$N$9))</f>
        <v>#DIV/0!</v>
      </c>
      <c r="Z41" s="29" t="e" cm="1">
        <f t="array" ref="Z41">$AC41*L$6*L$9/(SUMPRODUCT($E$6:$N$6,$E$9:$N$9))</f>
        <v>#DIV/0!</v>
      </c>
      <c r="AA41" s="29" t="e" cm="1">
        <f t="array" ref="AA41">$AC41*M$6*M$9/(SUMPRODUCT($E$6:$N$6,$E$9:$N$9))</f>
        <v>#DIV/0!</v>
      </c>
      <c r="AB41" s="29" t="e" cm="1">
        <f t="array" ref="AB41">$AC41*N$6*N$9/(SUMPRODUCT($E$6:$N$6,$E$9:$N$9))</f>
        <v>#DIV/0!</v>
      </c>
      <c r="AC41" s="29" t="e">
        <f>IF($E$3="纯租赁",$E$4*$E$13*12/$E$10,$E$4*($E$11/$E$28+$E$13)*12/$E$10)</f>
        <v>#DIV/0!</v>
      </c>
      <c r="AD41" s="27" t="e">
        <f t="shared" ref="AD41:AD57" si="55">AC41/$AC$61</f>
        <v>#DIV/0!</v>
      </c>
      <c r="AE41" s="29"/>
      <c r="AF41" s="73"/>
      <c r="AG41" s="28"/>
      <c r="AH41" s="1" t="s">
        <v>57</v>
      </c>
      <c r="AI41" s="35"/>
      <c r="AJ41" s="29" t="str">
        <f t="shared" ref="AJ41:AU41" si="56">IF($E$3="纯租赁",IF(AJ38*12&lt;=$E$12,$E$4*$E$13*12,""),IF(AJ38*12&lt;=$E$12,$E$4*$E$13*12,IF(AJ38*12&lt;=$E$28,MOD($E$12,12)*$E$13*$E$4,"")))</f>
        <v/>
      </c>
      <c r="AK41" s="29" t="str">
        <f t="shared" si="56"/>
        <v/>
      </c>
      <c r="AL41" s="29" t="str">
        <f t="shared" si="56"/>
        <v/>
      </c>
      <c r="AM41" s="29" t="str">
        <f t="shared" si="56"/>
        <v/>
      </c>
      <c r="AN41" s="29" t="str">
        <f t="shared" si="56"/>
        <v/>
      </c>
      <c r="AO41" s="29" t="str">
        <f t="shared" si="56"/>
        <v/>
      </c>
      <c r="AP41" s="29" t="str">
        <f t="shared" si="56"/>
        <v/>
      </c>
      <c r="AQ41" s="29" t="str">
        <f t="shared" si="56"/>
        <v/>
      </c>
      <c r="AR41" s="29" t="str">
        <f t="shared" si="56"/>
        <v/>
      </c>
      <c r="AS41" s="29" t="str">
        <f t="shared" si="56"/>
        <v/>
      </c>
      <c r="AT41" s="29" t="str">
        <f t="shared" si="56"/>
        <v/>
      </c>
      <c r="AU41" s="29" t="str">
        <f t="shared" si="56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t="e" cm="1">
        <f t="array" ref="S42">$AC42*E$6*E$9/(SUMPRODUCT($E$6:$N$6,$E$9:$N$9))</f>
        <v>#DIV/0!</v>
      </c>
      <c r="T42" s="29" t="e" cm="1">
        <f t="array" ref="T42">$AC42*F$6*F$9/(SUMPRODUCT($E$6:$N$6,$E$9:$N$9))</f>
        <v>#DIV/0!</v>
      </c>
      <c r="U42" s="29" t="e" cm="1">
        <f t="array" ref="U42">$AC42*G$6*G$9/(SUMPRODUCT($E$6:$N$6,$E$9:$N$9))</f>
        <v>#DIV/0!</v>
      </c>
      <c r="V42" s="29" t="e" cm="1">
        <f t="array" ref="V42">$AC42*H$6*H$9/(SUMPRODUCT($E$6:$N$6,$E$9:$N$9))</f>
        <v>#DIV/0!</v>
      </c>
      <c r="W42" s="29" t="e" cm="1">
        <f t="array" ref="W42">$AC42*I$6*I$9/(SUMPRODUCT($E$6:$N$6,$E$9:$N$9))</f>
        <v>#DIV/0!</v>
      </c>
      <c r="X42" s="29" t="e" cm="1">
        <f t="array" ref="X42">$AC42*J$6*J$9/(SUMPRODUCT($E$6:$N$6,$E$9:$N$9))</f>
        <v>#DIV/0!</v>
      </c>
      <c r="Y42" s="29" t="e" cm="1">
        <f t="array" ref="Y42">$AC42*K$6*K$9/(SUMPRODUCT($E$6:$N$6,$E$9:$N$9))</f>
        <v>#DIV/0!</v>
      </c>
      <c r="Z42" s="29" t="e" cm="1">
        <f t="array" ref="Z42">$AC42*L$6*L$9/(SUMPRODUCT($E$6:$N$6,$E$9:$N$9))</f>
        <v>#DIV/0!</v>
      </c>
      <c r="AA42" s="29" t="e" cm="1">
        <f t="array" ref="AA42">$AC42*M$6*M$9/(SUMPRODUCT($E$6:$N$6,$E$9:$N$9))</f>
        <v>#DIV/0!</v>
      </c>
      <c r="AB42" s="29" t="e" cm="1">
        <f t="array" ref="AB42">$AC42*N$6*N$9/(SUMPRODUCT($E$6:$N$6,$E$9:$N$9))</f>
        <v>#DIV/0!</v>
      </c>
      <c r="AC42" s="29" t="e">
        <f>$E$14*$E$4*12/$E$10</f>
        <v>#DIV/0!</v>
      </c>
      <c r="AD42" s="27" t="e">
        <f t="shared" si="55"/>
        <v>#DIV/0!</v>
      </c>
      <c r="AE42" s="29"/>
      <c r="AF42" s="73"/>
      <c r="AG42" s="28"/>
      <c r="AH42" s="1" t="s">
        <v>61</v>
      </c>
      <c r="AI42" s="35"/>
      <c r="AJ42" s="29" t="str">
        <f t="shared" ref="AJ42:AU42" si="57">IF($E$3="纯租赁",IF(AJ38*12&lt;=$E$12,$E$14*$E$4*12,""),IF(AJ38*12&lt;=$E$28,$E$14*$E$4*12,""))</f>
        <v/>
      </c>
      <c r="AK42" s="29" t="str">
        <f t="shared" si="57"/>
        <v/>
      </c>
      <c r="AL42" s="29" t="str">
        <f t="shared" si="57"/>
        <v/>
      </c>
      <c r="AM42" s="29" t="str">
        <f t="shared" si="57"/>
        <v/>
      </c>
      <c r="AN42" s="29" t="str">
        <f t="shared" si="57"/>
        <v/>
      </c>
      <c r="AO42" s="29" t="str">
        <f t="shared" si="57"/>
        <v/>
      </c>
      <c r="AP42" s="29" t="str">
        <f t="shared" si="57"/>
        <v/>
      </c>
      <c r="AQ42" s="29" t="str">
        <f t="shared" si="57"/>
        <v/>
      </c>
      <c r="AR42" s="29" t="str">
        <f t="shared" si="57"/>
        <v/>
      </c>
      <c r="AS42" s="29" t="str">
        <f t="shared" si="57"/>
        <v/>
      </c>
      <c r="AT42" s="29" t="str">
        <f t="shared" si="57"/>
        <v/>
      </c>
      <c r="AU42" s="29" t="str">
        <f t="shared" si="57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t="e" cm="1">
        <f t="array" ref="S43">$AC43*E$6*E$9/(SUMPRODUCT($E$6:$N$6,$E$9:$N$9))</f>
        <v>#DIV/0!</v>
      </c>
      <c r="T43" s="29" t="e" cm="1">
        <f t="array" ref="T43">$AC43*F$6*F$9/(SUMPRODUCT($E$6:$N$6,$E$9:$N$9))</f>
        <v>#DIV/0!</v>
      </c>
      <c r="U43" s="29" t="e" cm="1">
        <f t="array" ref="U43">$AC43*G$6*G$9/(SUMPRODUCT($E$6:$N$6,$E$9:$N$9))</f>
        <v>#DIV/0!</v>
      </c>
      <c r="V43" s="29" t="e" cm="1">
        <f t="array" ref="V43">$AC43*H$6*H$9/(SUMPRODUCT($E$6:$N$6,$E$9:$N$9))</f>
        <v>#DIV/0!</v>
      </c>
      <c r="W43" s="29" t="e" cm="1">
        <f t="array" ref="W43">$AC43*I$6*I$9/(SUMPRODUCT($E$6:$N$6,$E$9:$N$9))</f>
        <v>#DIV/0!</v>
      </c>
      <c r="X43" s="29" t="e" cm="1">
        <f t="array" ref="X43">$AC43*J$6*J$9/(SUMPRODUCT($E$6:$N$6,$E$9:$N$9))</f>
        <v>#DIV/0!</v>
      </c>
      <c r="Y43" s="29" t="e" cm="1">
        <f t="array" ref="Y43">$AC43*K$6*K$9/(SUMPRODUCT($E$6:$N$6,$E$9:$N$9))</f>
        <v>#DIV/0!</v>
      </c>
      <c r="Z43" s="29" t="e" cm="1">
        <f t="array" ref="Z43">$AC43*L$6*L$9/(SUMPRODUCT($E$6:$N$6,$E$9:$N$9))</f>
        <v>#DIV/0!</v>
      </c>
      <c r="AA43" s="29" t="e" cm="1">
        <f t="array" ref="AA43">$AC43*M$6*M$9/(SUMPRODUCT($E$6:$N$6,$E$9:$N$9))</f>
        <v>#DIV/0!</v>
      </c>
      <c r="AB43" s="29" t="e" cm="1">
        <f t="array" ref="AB43">$AC43*N$6*N$9/(SUMPRODUCT($E$6:$N$6,$E$9:$N$9))</f>
        <v>#DIV/0!</v>
      </c>
      <c r="AC43" s="29" t="e">
        <f>$E$4*$E$15*12/$E$10</f>
        <v>#DIV/0!</v>
      </c>
      <c r="AD43" s="27" t="e">
        <f t="shared" si="55"/>
        <v>#DIV/0!</v>
      </c>
      <c r="AE43" s="29"/>
      <c r="AF43" s="73"/>
      <c r="AG43" s="28"/>
      <c r="AH43" s="1" t="s">
        <v>64</v>
      </c>
      <c r="AI43" s="35"/>
      <c r="AJ43" s="29" t="str">
        <f t="shared" ref="AJ43:AU43" si="58">IF($E$3="纯租赁",IF(AJ38*12&lt;=$E$12,$E$4*$E$15*12,""),IF(AJ38*12&lt;=$E$28,$E$4*$E$15*12,""))</f>
        <v/>
      </c>
      <c r="AK43" s="29" t="str">
        <f t="shared" si="58"/>
        <v/>
      </c>
      <c r="AL43" s="29" t="str">
        <f t="shared" si="58"/>
        <v/>
      </c>
      <c r="AM43" s="29" t="str">
        <f t="shared" si="58"/>
        <v/>
      </c>
      <c r="AN43" s="29" t="str">
        <f t="shared" si="58"/>
        <v/>
      </c>
      <c r="AO43" s="29" t="str">
        <f t="shared" si="58"/>
        <v/>
      </c>
      <c r="AP43" s="29" t="str">
        <f t="shared" si="58"/>
        <v/>
      </c>
      <c r="AQ43" s="29" t="str">
        <f t="shared" si="58"/>
        <v/>
      </c>
      <c r="AR43" s="29" t="str">
        <f t="shared" si="58"/>
        <v/>
      </c>
      <c r="AS43" s="29" t="str">
        <f t="shared" si="58"/>
        <v/>
      </c>
      <c r="AT43" s="29" t="str">
        <f t="shared" si="58"/>
        <v/>
      </c>
      <c r="AU43" s="29" t="str">
        <f t="shared" si="58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t="e" cm="1">
        <f t="array" ref="S44">$AC44*E$6*E$9/(SUMPRODUCT($E$6:$N$6,$E$9:$N$9))</f>
        <v>#DIV/0!</v>
      </c>
      <c r="T44" s="29" t="e" cm="1">
        <f t="array" ref="T44">$AC44*F$6*F$9/(SUMPRODUCT($E$6:$N$6,$E$9:$N$9))</f>
        <v>#DIV/0!</v>
      </c>
      <c r="U44" s="29" t="e" cm="1">
        <f t="array" ref="U44">$AC44*G$6*G$9/(SUMPRODUCT($E$6:$N$6,$E$9:$N$9))</f>
        <v>#DIV/0!</v>
      </c>
      <c r="V44" s="29" t="e" cm="1">
        <f t="array" ref="V44">$AC44*H$6*H$9/(SUMPRODUCT($E$6:$N$6,$E$9:$N$9))</f>
        <v>#DIV/0!</v>
      </c>
      <c r="W44" s="29" t="e" cm="1">
        <f t="array" ref="W44">$AC44*I$6*I$9/(SUMPRODUCT($E$6:$N$6,$E$9:$N$9))</f>
        <v>#DIV/0!</v>
      </c>
      <c r="X44" s="29" t="e" cm="1">
        <f t="array" ref="X44">$AC44*J$6*J$9/(SUMPRODUCT($E$6:$N$6,$E$9:$N$9))</f>
        <v>#DIV/0!</v>
      </c>
      <c r="Y44" s="29" t="e" cm="1">
        <f t="array" ref="Y44">$AC44*K$6*K$9/(SUMPRODUCT($E$6:$N$6,$E$9:$N$9))</f>
        <v>#DIV/0!</v>
      </c>
      <c r="Z44" s="29" t="e" cm="1">
        <f t="array" ref="Z44">$AC44*L$6*L$9/(SUMPRODUCT($E$6:$N$6,$E$9:$N$9))</f>
        <v>#DIV/0!</v>
      </c>
      <c r="AA44" s="29" t="e" cm="1">
        <f t="array" ref="AA44">$AC44*M$6*M$9/(SUMPRODUCT($E$6:$N$6,$E$9:$N$9))</f>
        <v>#DIV/0!</v>
      </c>
      <c r="AB44" s="29" t="e" cm="1">
        <f t="array" ref="AB44">$AC44*N$6*N$9/(SUMPRODUCT($E$6:$N$6,$E$9:$N$9))</f>
        <v>#DIV/0!</v>
      </c>
      <c r="AC44" s="29" t="e">
        <f>$E$4*$E$16*12/$E$10</f>
        <v>#DIV/0!</v>
      </c>
      <c r="AD44" s="27" t="e">
        <f t="shared" si="55"/>
        <v>#DIV/0!</v>
      </c>
      <c r="AE44" s="29"/>
      <c r="AF44" s="29"/>
      <c r="AG44" s="28"/>
      <c r="AH44" s="1" t="s">
        <v>68</v>
      </c>
      <c r="AI44" s="35"/>
      <c r="AJ44" s="29" t="str">
        <f t="shared" ref="AJ44:AU44" si="59">IF($E$3="纯租赁",IF(AJ38*12&lt;=$E$12,$E$4*$E$16*12,""),IF(AJ38*12&lt;=$E$28,$E$4*$E$16*12,""))</f>
        <v/>
      </c>
      <c r="AK44" s="29" t="str">
        <f t="shared" si="59"/>
        <v/>
      </c>
      <c r="AL44" s="29" t="str">
        <f t="shared" si="59"/>
        <v/>
      </c>
      <c r="AM44" s="29" t="str">
        <f t="shared" si="59"/>
        <v/>
      </c>
      <c r="AN44" s="29" t="str">
        <f t="shared" si="59"/>
        <v/>
      </c>
      <c r="AO44" s="29" t="str">
        <f t="shared" si="59"/>
        <v/>
      </c>
      <c r="AP44" s="29" t="str">
        <f t="shared" si="59"/>
        <v/>
      </c>
      <c r="AQ44" s="29" t="str">
        <f t="shared" si="59"/>
        <v/>
      </c>
      <c r="AR44" s="29" t="str">
        <f t="shared" si="59"/>
        <v/>
      </c>
      <c r="AS44" s="29" t="str">
        <f t="shared" si="59"/>
        <v/>
      </c>
      <c r="AT44" s="29" t="str">
        <f t="shared" si="59"/>
        <v/>
      </c>
      <c r="AU44" s="29" t="str">
        <f t="shared" si="59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t="e" cm="1">
        <f t="array" ref="S45">$AC45*E$6*E$9/(SUMPRODUCT($E$6:$N$6,$E$9:$N$9))</f>
        <v>#DIV/0!</v>
      </c>
      <c r="T45" s="29" t="e" cm="1">
        <f t="array" ref="T45">$AC45*F$6*F$9/(SUMPRODUCT($E$6:$N$6,$E$9:$N$9))</f>
        <v>#DIV/0!</v>
      </c>
      <c r="U45" s="29" t="e" cm="1">
        <f t="array" ref="U45">$AC45*G$6*G$9/(SUMPRODUCT($E$6:$N$6,$E$9:$N$9))</f>
        <v>#DIV/0!</v>
      </c>
      <c r="V45" s="29" t="e" cm="1">
        <f t="array" ref="V45">$AC45*H$6*H$9/(SUMPRODUCT($E$6:$N$6,$E$9:$N$9))</f>
        <v>#DIV/0!</v>
      </c>
      <c r="W45" s="29" t="e" cm="1">
        <f t="array" ref="W45">$AC45*I$6*I$9/(SUMPRODUCT($E$6:$N$6,$E$9:$N$9))</f>
        <v>#DIV/0!</v>
      </c>
      <c r="X45" s="29" t="e" cm="1">
        <f t="array" ref="X45">$AC45*J$6*J$9/(SUMPRODUCT($E$6:$N$6,$E$9:$N$9))</f>
        <v>#DIV/0!</v>
      </c>
      <c r="Y45" s="29" t="e" cm="1">
        <f t="array" ref="Y45">$AC45*K$6*K$9/(SUMPRODUCT($E$6:$N$6,$E$9:$N$9))</f>
        <v>#DIV/0!</v>
      </c>
      <c r="Z45" s="29" t="e" cm="1">
        <f t="array" ref="Z45">$AC45*L$6*L$9/(SUMPRODUCT($E$6:$N$6,$E$9:$N$9))</f>
        <v>#DIV/0!</v>
      </c>
      <c r="AA45" s="29" t="e" cm="1">
        <f t="array" ref="AA45">$AC45*M$6*M$9/(SUMPRODUCT($E$6:$N$6,$E$9:$N$9))</f>
        <v>#DIV/0!</v>
      </c>
      <c r="AB45" s="29" t="e" cm="1">
        <f t="array" ref="AB45">$AC45*N$6*N$9/(SUMPRODUCT($E$6:$N$6,$E$9:$N$9))</f>
        <v>#DIV/0!</v>
      </c>
      <c r="AC45" s="29" t="e">
        <f>$E$4*$E$17*12/$E$10</f>
        <v>#DIV/0!</v>
      </c>
      <c r="AD45" s="27" t="e">
        <f t="shared" si="55"/>
        <v>#DIV/0!</v>
      </c>
      <c r="AE45" s="29"/>
      <c r="AF45" s="29"/>
      <c r="AG45" s="28"/>
      <c r="AH45" s="1" t="s">
        <v>71</v>
      </c>
      <c r="AI45" s="35"/>
      <c r="AJ45" s="29" t="str">
        <f t="shared" ref="AJ45:AU45" si="60">IF($E$3="纯租赁",IF(AJ38*12&lt;=$E$12,$E$4*$E$17*12,""),IF(AJ38*12&lt;=$E$28,$E$4*$E$17*12,""))</f>
        <v/>
      </c>
      <c r="AK45" s="29" t="str">
        <f t="shared" si="60"/>
        <v/>
      </c>
      <c r="AL45" s="29" t="str">
        <f t="shared" si="60"/>
        <v/>
      </c>
      <c r="AM45" s="29" t="str">
        <f t="shared" si="60"/>
        <v/>
      </c>
      <c r="AN45" s="29" t="str">
        <f t="shared" si="60"/>
        <v/>
      </c>
      <c r="AO45" s="29" t="str">
        <f t="shared" si="60"/>
        <v/>
      </c>
      <c r="AP45" s="29" t="str">
        <f t="shared" si="60"/>
        <v/>
      </c>
      <c r="AQ45" s="29" t="str">
        <f t="shared" si="60"/>
        <v/>
      </c>
      <c r="AR45" s="29" t="str">
        <f t="shared" si="60"/>
        <v/>
      </c>
      <c r="AS45" s="29" t="str">
        <f t="shared" si="60"/>
        <v/>
      </c>
      <c r="AT45" s="29" t="str">
        <f t="shared" si="60"/>
        <v/>
      </c>
      <c r="AU45" s="29" t="str">
        <f t="shared" si="60"/>
        <v/>
      </c>
    </row>
    <row r="46" spans="1:63">
      <c r="P46" s="40"/>
      <c r="Q46" s="28"/>
      <c r="R46" s="35" t="s">
        <v>74</v>
      </c>
      <c r="S46" s="29" t="e" cm="1">
        <f t="array" ref="S46">$AC46*E$6*E$9/(SUMPRODUCT($E$6:$N$6,$E$9:$N$9))</f>
        <v>#DIV/0!</v>
      </c>
      <c r="T46" s="29" t="e" cm="1">
        <f t="array" ref="T46">$AC46*F$6*F$9/(SUMPRODUCT($E$6:$N$6,$E$9:$N$9))</f>
        <v>#DIV/0!</v>
      </c>
      <c r="U46" s="29" t="e" cm="1">
        <f t="array" ref="U46">$AC46*G$6*G$9/(SUMPRODUCT($E$6:$N$6,$E$9:$N$9))</f>
        <v>#DIV/0!</v>
      </c>
      <c r="V46" s="29" t="e" cm="1">
        <f t="array" ref="V46">$AC46*H$6*H$9/(SUMPRODUCT($E$6:$N$6,$E$9:$N$9))</f>
        <v>#DIV/0!</v>
      </c>
      <c r="W46" s="29" t="e" cm="1">
        <f t="array" ref="W46">$AC46*I$6*I$9/(SUMPRODUCT($E$6:$N$6,$E$9:$N$9))</f>
        <v>#DIV/0!</v>
      </c>
      <c r="X46" s="29" t="e" cm="1">
        <f t="array" ref="X46">$AC46*J$6*J$9/(SUMPRODUCT($E$6:$N$6,$E$9:$N$9))</f>
        <v>#DIV/0!</v>
      </c>
      <c r="Y46" s="29" t="e" cm="1">
        <f t="array" ref="Y46">$AC46*K$6*K$9/(SUMPRODUCT($E$6:$N$6,$E$9:$N$9))</f>
        <v>#DIV/0!</v>
      </c>
      <c r="Z46" s="29" t="e" cm="1">
        <f t="array" ref="Z46">$AC46*L$6*L$9/(SUMPRODUCT($E$6:$N$6,$E$9:$N$9))</f>
        <v>#DIV/0!</v>
      </c>
      <c r="AA46" s="29" t="e" cm="1">
        <f t="array" ref="AA46">$AC46*M$6*M$9/(SUMPRODUCT($E$6:$N$6,$E$9:$N$9))</f>
        <v>#DIV/0!</v>
      </c>
      <c r="AB46" s="29" t="e" cm="1">
        <f t="array" ref="AB46">$AC46*N$6*N$9/(SUMPRODUCT($E$6:$N$6,$E$9:$N$9))</f>
        <v>#DIV/0!</v>
      </c>
      <c r="AC46" s="29" t="e">
        <f>$E$4*$E$18*12/$E$10</f>
        <v>#DIV/0!</v>
      </c>
      <c r="AD46" s="27" t="e">
        <f t="shared" si="55"/>
        <v>#DIV/0!</v>
      </c>
      <c r="AE46" s="29"/>
      <c r="AF46" s="29"/>
      <c r="AG46" s="28"/>
      <c r="AH46" s="1" t="s">
        <v>74</v>
      </c>
      <c r="AI46" s="35"/>
      <c r="AJ46" s="29" t="str">
        <f t="shared" ref="AJ46:AU46" si="61">IF($E$3="纯租赁",IF(AJ38*12&lt;=$E$12,$E$4*$E$18*12,""),IF(AJ38*12&lt;=$E$28,$E$4*$E$18*12,""))</f>
        <v/>
      </c>
      <c r="AK46" s="29" t="str">
        <f t="shared" si="61"/>
        <v/>
      </c>
      <c r="AL46" s="29" t="str">
        <f t="shared" si="61"/>
        <v/>
      </c>
      <c r="AM46" s="29" t="str">
        <f t="shared" si="61"/>
        <v/>
      </c>
      <c r="AN46" s="29" t="str">
        <f t="shared" si="61"/>
        <v/>
      </c>
      <c r="AO46" s="29" t="str">
        <f t="shared" si="61"/>
        <v/>
      </c>
      <c r="AP46" s="29" t="str">
        <f t="shared" si="61"/>
        <v/>
      </c>
      <c r="AQ46" s="29" t="str">
        <f t="shared" si="61"/>
        <v/>
      </c>
      <c r="AR46" s="29" t="str">
        <f t="shared" si="61"/>
        <v/>
      </c>
      <c r="AS46" s="29" t="str">
        <f t="shared" si="61"/>
        <v/>
      </c>
      <c r="AT46" s="29" t="str">
        <f t="shared" si="61"/>
        <v/>
      </c>
      <c r="AU46" s="29" t="str">
        <f t="shared" si="61"/>
        <v/>
      </c>
    </row>
    <row r="47" spans="1:63">
      <c r="P47" s="40"/>
      <c r="Q47" s="28"/>
      <c r="R47" s="35" t="s">
        <v>78</v>
      </c>
      <c r="S47" s="29" t="e" cm="1">
        <f t="array" ref="S47">$AC47*E$6*E$9/(SUMPRODUCT($E$6:$N$6,$E$9:$N$9))</f>
        <v>#DIV/0!</v>
      </c>
      <c r="T47" s="29" t="e" cm="1">
        <f t="array" ref="T47">$AC47*F$6*F$9/(SUMPRODUCT($E$6:$N$6,$E$9:$N$9))</f>
        <v>#DIV/0!</v>
      </c>
      <c r="U47" s="29" t="e" cm="1">
        <f t="array" ref="U47">$AC47*G$6*G$9/(SUMPRODUCT($E$6:$N$6,$E$9:$N$9))</f>
        <v>#DIV/0!</v>
      </c>
      <c r="V47" s="29" t="e" cm="1">
        <f t="array" ref="V47">$AC47*H$6*H$9/(SUMPRODUCT($E$6:$N$6,$E$9:$N$9))</f>
        <v>#DIV/0!</v>
      </c>
      <c r="W47" s="29" t="e" cm="1">
        <f t="array" ref="W47">$AC47*I$6*I$9/(SUMPRODUCT($E$6:$N$6,$E$9:$N$9))</f>
        <v>#DIV/0!</v>
      </c>
      <c r="X47" s="29" t="e" cm="1">
        <f t="array" ref="X47">$AC47*J$6*J$9/(SUMPRODUCT($E$6:$N$6,$E$9:$N$9))</f>
        <v>#DIV/0!</v>
      </c>
      <c r="Y47" s="29" t="e" cm="1">
        <f t="array" ref="Y47">$AC47*K$6*K$9/(SUMPRODUCT($E$6:$N$6,$E$9:$N$9))</f>
        <v>#DIV/0!</v>
      </c>
      <c r="Z47" s="29" t="e" cm="1">
        <f t="array" ref="Z47">$AC47*L$6*L$9/(SUMPRODUCT($E$6:$N$6,$E$9:$N$9))</f>
        <v>#DIV/0!</v>
      </c>
      <c r="AA47" s="29" t="e" cm="1">
        <f t="array" ref="AA47">$AC47*M$6*M$9/(SUMPRODUCT($E$6:$N$6,$E$9:$N$9))</f>
        <v>#DIV/0!</v>
      </c>
      <c r="AB47" s="29" t="e" cm="1">
        <f t="array" ref="AB47">$AC47*N$6*N$9/(SUMPRODUCT($E$6:$N$6,$E$9:$N$9))</f>
        <v>#DIV/0!</v>
      </c>
      <c r="AC47" s="29" t="e">
        <f>$E$4*$E$19*12/$E$10</f>
        <v>#DIV/0!</v>
      </c>
      <c r="AD47" s="27" t="e">
        <f t="shared" si="55"/>
        <v>#DIV/0!</v>
      </c>
      <c r="AE47" s="29"/>
      <c r="AF47" s="29"/>
      <c r="AG47" s="28"/>
      <c r="AH47" s="1" t="s">
        <v>78</v>
      </c>
      <c r="AI47" s="35"/>
      <c r="AJ47" s="29" t="str">
        <f t="shared" ref="AJ47:AU47" si="62">IF($E$3="纯租赁",IF(AJ38*12&lt;=$E$12,$E$4*$E$19*12,""),IF(AJ38*12&lt;=$E$28,$E$4*$E$19*12,""))</f>
        <v/>
      </c>
      <c r="AK47" s="29" t="str">
        <f t="shared" si="62"/>
        <v/>
      </c>
      <c r="AL47" s="29" t="str">
        <f t="shared" si="62"/>
        <v/>
      </c>
      <c r="AM47" s="29" t="str">
        <f t="shared" si="62"/>
        <v/>
      </c>
      <c r="AN47" s="29" t="str">
        <f t="shared" si="62"/>
        <v/>
      </c>
      <c r="AO47" s="29" t="str">
        <f t="shared" si="62"/>
        <v/>
      </c>
      <c r="AP47" s="29" t="str">
        <f t="shared" si="62"/>
        <v/>
      </c>
      <c r="AQ47" s="29" t="str">
        <f t="shared" si="62"/>
        <v/>
      </c>
      <c r="AR47" s="29" t="str">
        <f t="shared" si="62"/>
        <v/>
      </c>
      <c r="AS47" s="29" t="str">
        <f t="shared" si="62"/>
        <v/>
      </c>
      <c r="AT47" s="29" t="str">
        <f t="shared" si="62"/>
        <v/>
      </c>
      <c r="AU47" s="29" t="str">
        <f t="shared" si="62"/>
        <v/>
      </c>
    </row>
    <row r="48" spans="1:63">
      <c r="P48" s="40"/>
      <c r="Q48" s="28"/>
      <c r="R48" s="35" t="s">
        <v>82</v>
      </c>
      <c r="S48" s="29" t="e" cm="1">
        <f t="array" ref="S48">$AC48*E$6*E$9/(SUMPRODUCT($E$6:$N$6,$E$9:$N$9))</f>
        <v>#DIV/0!</v>
      </c>
      <c r="T48" s="29" t="e" cm="1">
        <f t="array" ref="T48">$AC48*F$6*F$9/(SUMPRODUCT($E$6:$N$6,$E$9:$N$9))</f>
        <v>#DIV/0!</v>
      </c>
      <c r="U48" s="29" t="e" cm="1">
        <f t="array" ref="U48">$AC48*G$6*G$9/(SUMPRODUCT($E$6:$N$6,$E$9:$N$9))</f>
        <v>#DIV/0!</v>
      </c>
      <c r="V48" s="29" t="e" cm="1">
        <f t="array" ref="V48">$AC48*H$6*H$9/(SUMPRODUCT($E$6:$N$6,$E$9:$N$9))</f>
        <v>#DIV/0!</v>
      </c>
      <c r="W48" s="29" t="e" cm="1">
        <f t="array" ref="W48">$AC48*I$6*I$9/(SUMPRODUCT($E$6:$N$6,$E$9:$N$9))</f>
        <v>#DIV/0!</v>
      </c>
      <c r="X48" s="29" t="e" cm="1">
        <f t="array" ref="X48">$AC48*J$6*J$9/(SUMPRODUCT($E$6:$N$6,$E$9:$N$9))</f>
        <v>#DIV/0!</v>
      </c>
      <c r="Y48" s="29" t="e" cm="1">
        <f t="array" ref="Y48">$AC48*K$6*K$9/(SUMPRODUCT($E$6:$N$6,$E$9:$N$9))</f>
        <v>#DIV/0!</v>
      </c>
      <c r="Z48" s="29" t="e" cm="1">
        <f t="array" ref="Z48">$AC48*L$6*L$9/(SUMPRODUCT($E$6:$N$6,$E$9:$N$9))</f>
        <v>#DIV/0!</v>
      </c>
      <c r="AA48" s="29" t="e" cm="1">
        <f t="array" ref="AA48">$AC48*M$6*M$9/(SUMPRODUCT($E$6:$N$6,$E$9:$N$9))</f>
        <v>#DIV/0!</v>
      </c>
      <c r="AB48" s="29" t="e" cm="1">
        <f t="array" ref="AB48">$AC48*N$6*N$9/(SUMPRODUCT($E$6:$N$6,$E$9:$N$9))</f>
        <v>#DIV/0!</v>
      </c>
      <c r="AC48" s="29" t="e">
        <f>$E$4*$E$20*12/$E$10</f>
        <v>#DIV/0!</v>
      </c>
      <c r="AD48" s="27" t="e">
        <f t="shared" si="55"/>
        <v>#DIV/0!</v>
      </c>
      <c r="AE48" s="29"/>
      <c r="AF48" s="29"/>
      <c r="AG48" s="28"/>
      <c r="AH48" s="1" t="s">
        <v>82</v>
      </c>
      <c r="AI48" s="35"/>
      <c r="AJ48" s="29" t="str">
        <f t="shared" ref="AJ48:AU48" si="63">IF($E$3="纯租赁",IF(AJ38*12&lt;=$E$12,$E$4*$E$20*12,""),IF(AJ38*12&lt;=$E$28,$E$4*$E$20*12,""))</f>
        <v/>
      </c>
      <c r="AK48" s="29" t="str">
        <f t="shared" si="63"/>
        <v/>
      </c>
      <c r="AL48" s="29" t="str">
        <f t="shared" si="63"/>
        <v/>
      </c>
      <c r="AM48" s="29" t="str">
        <f t="shared" si="63"/>
        <v/>
      </c>
      <c r="AN48" s="29" t="str">
        <f t="shared" si="63"/>
        <v/>
      </c>
      <c r="AO48" s="29" t="str">
        <f t="shared" si="63"/>
        <v/>
      </c>
      <c r="AP48" s="29" t="str">
        <f t="shared" si="63"/>
        <v/>
      </c>
      <c r="AQ48" s="29" t="str">
        <f t="shared" si="63"/>
        <v/>
      </c>
      <c r="AR48" s="29" t="str">
        <f t="shared" si="63"/>
        <v/>
      </c>
      <c r="AS48" s="29" t="str">
        <f t="shared" si="63"/>
        <v/>
      </c>
      <c r="AT48" s="29" t="str">
        <f t="shared" si="63"/>
        <v/>
      </c>
      <c r="AU48" s="29" t="str">
        <f t="shared" si="63"/>
        <v/>
      </c>
    </row>
    <row r="49" spans="16:47">
      <c r="P49" s="40"/>
      <c r="Q49" s="28"/>
      <c r="R49" s="23" t="s">
        <v>85</v>
      </c>
      <c r="S49" s="24" t="e" cm="1">
        <f t="array" ref="S49">$AC49*E$6*E$9/(SUMPRODUCT($E$6:$N$6,$E$9:$N$9))</f>
        <v>#DIV/0!</v>
      </c>
      <c r="T49" s="24" t="e" cm="1">
        <f t="array" ref="T49">$AC49*F$6*F$9/(SUMPRODUCT($E$6:$N$6,$E$9:$N$9))</f>
        <v>#DIV/0!</v>
      </c>
      <c r="U49" s="24" t="e" cm="1">
        <f t="array" ref="U49">$AC49*G$6*G$9/(SUMPRODUCT($E$6:$N$6,$E$9:$N$9))</f>
        <v>#DIV/0!</v>
      </c>
      <c r="V49" s="24" t="e" cm="1">
        <f t="array" ref="V49">$AC49*H$6*H$9/(SUMPRODUCT($E$6:$N$6,$E$9:$N$9))</f>
        <v>#DIV/0!</v>
      </c>
      <c r="W49" s="24" t="e" cm="1">
        <f t="array" ref="W49">$AC49*I$6*I$9/(SUMPRODUCT($E$6:$N$6,$E$9:$N$9))</f>
        <v>#DIV/0!</v>
      </c>
      <c r="X49" s="24" t="e" cm="1">
        <f t="array" ref="X49">$AC49*J$6*J$9/(SUMPRODUCT($E$6:$N$6,$E$9:$N$9))</f>
        <v>#DIV/0!</v>
      </c>
      <c r="Y49" s="24" t="e" cm="1">
        <f t="array" ref="Y49">$AC49*K$6*K$9/(SUMPRODUCT($E$6:$N$6,$E$9:$N$9))</f>
        <v>#DIV/0!</v>
      </c>
      <c r="Z49" s="24" t="e" cm="1">
        <f t="array" ref="Z49">$AC49*L$6*L$9/(SUMPRODUCT($E$6:$N$6,$E$9:$N$9))</f>
        <v>#DIV/0!</v>
      </c>
      <c r="AA49" s="24" t="e" cm="1">
        <f t="array" ref="AA49">$AC49*M$6*M$9/(SUMPRODUCT($E$6:$N$6,$E$9:$N$9))</f>
        <v>#DIV/0!</v>
      </c>
      <c r="AB49" s="24" t="e" cm="1">
        <f t="array" ref="AB49">$AC49*N$6*N$9/(SUMPRODUCT($E$6:$N$6,$E$9:$N$9))</f>
        <v>#DIV/0!</v>
      </c>
      <c r="AC49" s="24" t="e">
        <f>$E$4*$E$21*12/$E$10</f>
        <v>#DIV/0!</v>
      </c>
      <c r="AD49" s="79" t="e">
        <f t="shared" si="55"/>
        <v>#DIV/0!</v>
      </c>
      <c r="AG49" s="28"/>
      <c r="AH49" s="1" t="s">
        <v>85</v>
      </c>
      <c r="AI49" s="35"/>
      <c r="AJ49" s="29" t="str">
        <f t="shared" ref="AJ49:AU49" si="64">IF($E$3="纯租赁",IF(AJ38*12&lt;=$E$12,$E$4*$E$21*12,""),IF(AJ38*12&lt;=$E$28,$E$4*$E$21*12,""))</f>
        <v/>
      </c>
      <c r="AK49" s="29" t="str">
        <f t="shared" si="64"/>
        <v/>
      </c>
      <c r="AL49" s="29" t="str">
        <f t="shared" si="64"/>
        <v/>
      </c>
      <c r="AM49" s="29" t="str">
        <f t="shared" si="64"/>
        <v/>
      </c>
      <c r="AN49" s="29" t="str">
        <f t="shared" si="64"/>
        <v/>
      </c>
      <c r="AO49" s="29" t="str">
        <f t="shared" si="64"/>
        <v/>
      </c>
      <c r="AP49" s="29" t="str">
        <f t="shared" si="64"/>
        <v/>
      </c>
      <c r="AQ49" s="29" t="str">
        <f t="shared" si="64"/>
        <v/>
      </c>
      <c r="AR49" s="29" t="str">
        <f t="shared" si="64"/>
        <v/>
      </c>
      <c r="AS49" s="29" t="str">
        <f t="shared" si="64"/>
        <v/>
      </c>
      <c r="AT49" s="29" t="str">
        <f t="shared" si="64"/>
        <v/>
      </c>
      <c r="AU49" s="29" t="str">
        <f t="shared" si="64"/>
        <v/>
      </c>
    </row>
    <row r="50" spans="16:47">
      <c r="Q50" s="53" t="s">
        <v>15</v>
      </c>
      <c r="R50" s="35" t="s">
        <v>88</v>
      </c>
      <c r="S50" s="29">
        <f t="shared" ref="S50:AB50" si="65">$E$4*E$9*E$22</f>
        <v>0</v>
      </c>
      <c r="T50" s="29">
        <f t="shared" si="65"/>
        <v>0</v>
      </c>
      <c r="U50" s="29">
        <f t="shared" si="65"/>
        <v>0</v>
      </c>
      <c r="V50" s="29">
        <f t="shared" si="65"/>
        <v>0</v>
      </c>
      <c r="W50" s="29">
        <f t="shared" si="65"/>
        <v>0</v>
      </c>
      <c r="X50" s="29">
        <f t="shared" si="65"/>
        <v>0</v>
      </c>
      <c r="Y50" s="29">
        <f t="shared" si="65"/>
        <v>0</v>
      </c>
      <c r="Z50" s="29">
        <f t="shared" si="65"/>
        <v>0</v>
      </c>
      <c r="AA50" s="29">
        <f t="shared" si="65"/>
        <v>0</v>
      </c>
      <c r="AB50" s="29">
        <f t="shared" si="65"/>
        <v>0</v>
      </c>
      <c r="AC50" s="29" cm="1">
        <f t="array" ref="AC50">$E$4*SUMPRODUCT($E$9:$N$9,$E$22:$N$22)</f>
        <v>0</v>
      </c>
      <c r="AD50" s="27" t="e">
        <f t="shared" si="55"/>
        <v>#DIV/0!</v>
      </c>
      <c r="AG50" s="53" t="s">
        <v>15</v>
      </c>
      <c r="AH50" s="80" t="s">
        <v>88</v>
      </c>
      <c r="AI50" s="81"/>
      <c r="AJ50" s="82" t="str" cm="1">
        <f t="array" ref="AJ50">IF($E$3="纯租赁",IF(AJ38*12&lt;=$E$12,$E$4*SUMPRODUCT($E$9:$N$9,$E$22:$N$22)*$E$10,""),IF(AJ38*12&lt;=$E$28,$E$4*SUMPRODUCT($E$9:$N$9,$E$22:$N$22)*$E$10,""))</f>
        <v/>
      </c>
      <c r="AK50" s="82" t="str" cm="1">
        <f t="array" ref="AK50">IF($E$3="纯租赁",IF(AK38*12&lt;=$E$12,$E$4*SUMPRODUCT($E$9:$N$9,$E$22:$N$22)*$E$10,""),IF(AK38*12&lt;=$E$28,$E$4*SUMPRODUCT($E$9:$N$9,$E$22:$N$22)*$E$10,""))</f>
        <v/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66">$E$4*E$9*E$23</f>
        <v>0</v>
      </c>
      <c r="T51" s="29">
        <f t="shared" si="66"/>
        <v>0</v>
      </c>
      <c r="U51" s="29">
        <f t="shared" si="66"/>
        <v>0</v>
      </c>
      <c r="V51" s="29">
        <f t="shared" si="66"/>
        <v>0</v>
      </c>
      <c r="W51" s="29">
        <f t="shared" si="66"/>
        <v>0</v>
      </c>
      <c r="X51" s="29">
        <f t="shared" si="66"/>
        <v>0</v>
      </c>
      <c r="Y51" s="29">
        <f t="shared" si="66"/>
        <v>0</v>
      </c>
      <c r="Z51" s="29">
        <f t="shared" si="66"/>
        <v>0</v>
      </c>
      <c r="AA51" s="29">
        <f t="shared" si="66"/>
        <v>0</v>
      </c>
      <c r="AB51" s="29">
        <f t="shared" si="66"/>
        <v>0</v>
      </c>
      <c r="AC51" s="29" cm="1">
        <f t="array" ref="AC51">$E$4*SUMPRODUCT($E$9:$N$9,$E$23:$N$23)</f>
        <v>0</v>
      </c>
      <c r="AD51" s="27" t="e">
        <f t="shared" si="55"/>
        <v>#DIV/0!</v>
      </c>
      <c r="AF51" s="71"/>
      <c r="AG51" s="28"/>
      <c r="AH51" s="1" t="s">
        <v>91</v>
      </c>
      <c r="AI51" s="35"/>
      <c r="AJ51" s="29" t="str" cm="1">
        <f t="array" ref="AJ51">IF($E$3="纯租赁",IF(AJ38*12&lt;=$E$12,$E$4*SUMPRODUCT($E$23:$N$23,$E$9:$N$9)*$E$10,""),IF(AJ38*12&lt;=$E$28,$E$4*SUMPRODUCT($E$23:$N$23,$E$9:$N$9)*$E$10,""))</f>
        <v/>
      </c>
      <c r="AK51" s="29" t="str" cm="1">
        <f t="array" ref="AK51">IF($E$3="纯租赁",IF(AK38*12&lt;=$E$12,$E$4*SUMPRODUCT($E$23:$N$23,$E$9:$N$9)*$E$10,""),IF(AK38*12&lt;=$E$28,$E$4*SUMPRODUCT($E$23:$N$23,$E$9:$N$9)*$E$10,""))</f>
        <v/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67">$E$4*E$9*E$24</f>
        <v>0</v>
      </c>
      <c r="T52" s="29">
        <f t="shared" si="67"/>
        <v>0</v>
      </c>
      <c r="U52" s="29">
        <f t="shared" si="67"/>
        <v>0</v>
      </c>
      <c r="V52" s="29">
        <f t="shared" si="67"/>
        <v>0</v>
      </c>
      <c r="W52" s="29">
        <f t="shared" si="67"/>
        <v>0</v>
      </c>
      <c r="X52" s="29">
        <f t="shared" si="67"/>
        <v>0</v>
      </c>
      <c r="Y52" s="29">
        <f t="shared" si="67"/>
        <v>0</v>
      </c>
      <c r="Z52" s="29">
        <f t="shared" si="67"/>
        <v>0</v>
      </c>
      <c r="AA52" s="29">
        <f t="shared" si="67"/>
        <v>0</v>
      </c>
      <c r="AB52" s="29">
        <f t="shared" si="67"/>
        <v>0</v>
      </c>
      <c r="AC52" s="29" cm="1">
        <f t="array" ref="AC52">$E$4*SUMPRODUCT($E$9:$N$9,$E$24:$N$24)</f>
        <v>0</v>
      </c>
      <c r="AD52" s="27" t="e">
        <f t="shared" si="55"/>
        <v>#DIV/0!</v>
      </c>
      <c r="AG52" s="28"/>
      <c r="AH52" s="1" t="s">
        <v>94</v>
      </c>
      <c r="AI52" s="35"/>
      <c r="AJ52" s="29" t="str" cm="1">
        <f t="array" ref="AJ52">IF($E$3="纯租赁",IF(AJ38*12&lt;=$E$12,$E$4*$E$10*SUMPRODUCT($E$24:$N$24,$E$9:$N$9),""),IF(AJ38*12&lt;=$E$28,$E$4*$E$10*SUMPRODUCT($E$24:$N$24,$E$9:$N$9),""))</f>
        <v/>
      </c>
      <c r="AK52" s="29" t="str" cm="1">
        <f t="array" ref="AK52">IF($E$3="纯租赁",IF(AK38*12&lt;=$E$12,$E$4*$E$10*SUMPRODUCT($E$24:$N$24,$E$9:$N$9),""),IF(AK38*12&lt;=$E$28,$E$4*$E$10*SUMPRODUCT($E$24:$N$24,$E$9:$N$9),""))</f>
        <v/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68">$E$4*E$9*E$25</f>
        <v>0</v>
      </c>
      <c r="T53" s="29">
        <f t="shared" si="68"/>
        <v>0</v>
      </c>
      <c r="U53" s="29">
        <f t="shared" si="68"/>
        <v>0</v>
      </c>
      <c r="V53" s="29">
        <f t="shared" si="68"/>
        <v>0</v>
      </c>
      <c r="W53" s="29">
        <f t="shared" si="68"/>
        <v>0</v>
      </c>
      <c r="X53" s="29">
        <f t="shared" si="68"/>
        <v>0</v>
      </c>
      <c r="Y53" s="29">
        <f t="shared" si="68"/>
        <v>0</v>
      </c>
      <c r="Z53" s="29">
        <f t="shared" si="68"/>
        <v>0</v>
      </c>
      <c r="AA53" s="29">
        <f t="shared" si="68"/>
        <v>0</v>
      </c>
      <c r="AB53" s="29">
        <f t="shared" si="68"/>
        <v>0</v>
      </c>
      <c r="AC53" s="29" cm="1">
        <f t="array" ref="AC53">$E$4*SUMPRODUCT($E$9:$N$9,$E$25:$N$25)</f>
        <v>0</v>
      </c>
      <c r="AD53" s="27" t="e">
        <f t="shared" si="55"/>
        <v>#DIV/0!</v>
      </c>
      <c r="AG53" s="28"/>
      <c r="AH53" s="1" t="s">
        <v>97</v>
      </c>
      <c r="AI53" s="35"/>
      <c r="AJ53" s="29" t="str" cm="1">
        <f t="array" ref="AJ53">IF($E$3="纯租赁",IF(AJ38*12&lt;=$E$12,$E$4*$E$10*SUMPRODUCT($E$25:$N$25,$E$9:$N$9),""),IF(AJ38*12&lt;=$E$28,$E$4*$E$10*SUMPRODUCT($E$25:$N$25,$E$9:$N$9),""))</f>
        <v/>
      </c>
      <c r="AK53" s="29" t="str" cm="1">
        <f t="array" ref="AK53">IF($E$3="纯租赁",IF(AK38*12&lt;=$E$12,$E$4*$E$10*SUMPRODUCT($E$25:$N$25,$E$9:$N$9),""),IF(AK38*12&lt;=$E$28,$E$4*$E$10*SUMPRODUCT($E$25:$N$25,$E$9:$N$9),""))</f>
        <v/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69">IF(E$8,$E$4*$E$32*$E$5*E$6,$E$4*$E$33*$E$5*E$6)*E$9</f>
        <v>0</v>
      </c>
      <c r="T54" s="20">
        <f t="shared" si="69"/>
        <v>0</v>
      </c>
      <c r="U54" s="20">
        <f t="shared" si="69"/>
        <v>0</v>
      </c>
      <c r="V54" s="20">
        <f t="shared" si="69"/>
        <v>0</v>
      </c>
      <c r="W54" s="20">
        <f t="shared" si="69"/>
        <v>0</v>
      </c>
      <c r="X54" s="20">
        <f t="shared" si="69"/>
        <v>0</v>
      </c>
      <c r="Y54" s="20">
        <f t="shared" si="69"/>
        <v>0</v>
      </c>
      <c r="Z54" s="20">
        <f t="shared" si="69"/>
        <v>0</v>
      </c>
      <c r="AA54" s="20">
        <f t="shared" si="69"/>
        <v>0</v>
      </c>
      <c r="AB54" s="20">
        <f t="shared" si="69"/>
        <v>0</v>
      </c>
      <c r="AC54" s="29" cm="1">
        <f t="array" ref="AC54">$E$4*$E$5*SUMPRODUCT(IF($E$8:$N$8,$E$32,$E$33),$E$6:$N$6,$E$9:$N$9)</f>
        <v>0</v>
      </c>
      <c r="AD54" s="27" t="e">
        <f t="shared" si="55"/>
        <v>#DIV/0!</v>
      </c>
      <c r="AG54" s="28"/>
      <c r="AH54" s="1" t="s">
        <v>100</v>
      </c>
      <c r="AI54" s="35"/>
      <c r="AJ54" s="29" t="str" cm="1">
        <f t="array" ref="AJ54">IF($E$3="纯租赁",IF(AJ38*12&lt;=$E$12,$E$4*$E$5*$E$10*SUMPRODUCT(IF($E$8:$N$8,$E$32,$E$33),$E$6:$N$6,$E$9:$N$9),""),IF(AJ38*12&lt;=$E$28,$E$4*$E$5*$E$10*SUMPRODUCT(IF($E$8:$N$8,$E$32,$E$33),$E$6:$N$6,$E$9:$N$9),""))</f>
        <v/>
      </c>
      <c r="AK54" s="29" t="str" cm="1">
        <f t="array" ref="AK54">IF($E$3="纯租赁",IF(AK38*12&lt;=$E$12,$E$4*$E$5*$E$10*SUMPRODUCT(IF($E$8:$N$8,$E$32,$E$33),$E$6:$N$6,$E$9:$N$9),""),IF(AK38*12&lt;=$E$28,$E$4*$E$5*$E$10*SUMPRODUCT(IF($E$8:$N$8,$E$32,$E$33),$E$6:$N$6,$E$9:$N$9),""))</f>
        <v/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t="e" cm="1">
        <f t="array" ref="S55">$AC55*E$6*E$9/(SUMPRODUCT($E$6:$N$6,$E$9:$N$9))</f>
        <v>#DIV/0!</v>
      </c>
      <c r="T55" s="24" t="e" cm="1">
        <f t="array" ref="T55">$AC55*F$6*F$9/(SUMPRODUCT($E$6:$N$6,$E$9:$N$9))</f>
        <v>#DIV/0!</v>
      </c>
      <c r="U55" s="24" t="e" cm="1">
        <f t="array" ref="U55">$AC55*G$6*G$9/(SUMPRODUCT($E$6:$N$6,$E$9:$N$9))</f>
        <v>#DIV/0!</v>
      </c>
      <c r="V55" s="24" t="e" cm="1">
        <f t="array" ref="V55">$AC55*H$6*H$9/(SUMPRODUCT($E$6:$N$6,$E$9:$N$9))</f>
        <v>#DIV/0!</v>
      </c>
      <c r="W55" s="24" t="e" cm="1">
        <f t="array" ref="W55">$AC55*I$6*I$9/(SUMPRODUCT($E$6:$N$6,$E$9:$N$9))</f>
        <v>#DIV/0!</v>
      </c>
      <c r="X55" s="24" t="e" cm="1">
        <f t="array" ref="X55">$AC55*J$6*J$9/(SUMPRODUCT($E$6:$N$6,$E$9:$N$9))</f>
        <v>#DIV/0!</v>
      </c>
      <c r="Y55" s="24" t="e" cm="1">
        <f t="array" ref="Y55">$AC55*K$6*K$9/(SUMPRODUCT($E$6:$N$6,$E$9:$N$9))</f>
        <v>#DIV/0!</v>
      </c>
      <c r="Z55" s="24" t="e" cm="1">
        <f t="array" ref="Z55">$AC55*L$6*L$9/(SUMPRODUCT($E$6:$N$6,$E$9:$N$9))</f>
        <v>#DIV/0!</v>
      </c>
      <c r="AA55" s="24" t="e" cm="1">
        <f t="array" ref="AA55">$AC55*M$6*M$9/(SUMPRODUCT($E$6:$N$6,$E$9:$N$9))</f>
        <v>#DIV/0!</v>
      </c>
      <c r="AB55" s="24" t="e" cm="1">
        <f t="array" ref="AB55">$AC55*N$6*N$9/(SUMPRODUCT($E$6:$N$6,$E$9:$N$9))</f>
        <v>#DIV/0!</v>
      </c>
      <c r="AC55" s="24" cm="1">
        <f t="array" ref="AC55">SUMPRODUCT($E$6:$N$6,$E$9:$N$9)/$E$29*$E$30*$E$4*$E$31</f>
        <v>0</v>
      </c>
      <c r="AD55" s="79" t="e">
        <f t="shared" si="55"/>
        <v>#DIV/0!</v>
      </c>
      <c r="AG55" s="22"/>
      <c r="AH55" s="50" t="s">
        <v>103</v>
      </c>
      <c r="AI55" s="23"/>
      <c r="AJ55" s="24" t="str" cm="1">
        <f t="array" ref="AJ55">IF($E$3="纯租赁",IF(AJ38*12&lt;=$E$12,SUMPRODUCT($E$6:$N$6,$E$9:$N$9)*$E$10/$E$29*$E$30*$E$4*$E$31,""),IF(AJ38*12&lt;=$E$28,SUMPRODUCT($E$6:$N$6,$E$9:$N$9)*$E$10/$E$29*$E$30*$E$4*$E$31,""))</f>
        <v/>
      </c>
      <c r="AK55" s="24" t="str" cm="1">
        <f t="array" ref="AK55">IF($E$3="纯租赁",IF(AK38*12&lt;=$E$12,SUMPRODUCT($E$6:$N$6,$E$9:$N$9)*$E$10/$E$29*$E$30*$E$4*$E$31,""),IF(AK38*12&lt;=$E$28,SUMPRODUCT($E$6:$N$6,$E$9:$N$9)*$E$10/$E$29*$E$30*$E$4*$E$31,""))</f>
        <v/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t="e" cm="1">
        <f t="array" ref="S56">$AC56*E$6*E$9/(SUMPRODUCT($E$6:$N$6,$E$9:$N$9))</f>
        <v>#DIV/0!</v>
      </c>
      <c r="T56" s="29" t="e" cm="1">
        <f t="array" ref="T56">$AC56*F$6*F$9/(SUMPRODUCT($E$6:$N$6,$E$9:$N$9))</f>
        <v>#DIV/0!</v>
      </c>
      <c r="U56" s="29" t="e" cm="1">
        <f t="array" ref="U56">$AC56*G$6*G$9/(SUMPRODUCT($E$6:$N$6,$E$9:$N$9))</f>
        <v>#DIV/0!</v>
      </c>
      <c r="V56" s="29" t="e" cm="1">
        <f t="array" ref="V56">$AC56*H$6*H$9/(SUMPRODUCT($E$6:$N$6,$E$9:$N$9))</f>
        <v>#DIV/0!</v>
      </c>
      <c r="W56" s="29" t="e" cm="1">
        <f t="array" ref="W56">$AC56*I$6*I$9/(SUMPRODUCT($E$6:$N$6,$E$9:$N$9))</f>
        <v>#DIV/0!</v>
      </c>
      <c r="X56" s="29" t="e" cm="1">
        <f t="array" ref="X56">$AC56*J$6*J$9/(SUMPRODUCT($E$6:$N$6,$E$9:$N$9))</f>
        <v>#DIV/0!</v>
      </c>
      <c r="Y56" s="29" t="e" cm="1">
        <f t="array" ref="Y56">$AC56*K$6*K$9/(SUMPRODUCT($E$6:$N$6,$E$9:$N$9))</f>
        <v>#DIV/0!</v>
      </c>
      <c r="Z56" s="29" t="e" cm="1">
        <f t="array" ref="Z56">$AC56*L$6*L$9/(SUMPRODUCT($E$6:$N$6,$E$9:$N$9))</f>
        <v>#DIV/0!</v>
      </c>
      <c r="AA56" s="29" t="e" cm="1">
        <f t="array" ref="AA56">$AC56*M$6*M$9/(SUMPRODUCT($E$6:$N$6,$E$9:$N$9))</f>
        <v>#DIV/0!</v>
      </c>
      <c r="AB56" s="29" t="e" cm="1">
        <f t="array" ref="AB56">$AC56*N$6*N$9/(SUMPRODUCT($E$6:$N$6,$E$9:$N$9))</f>
        <v>#DIV/0!</v>
      </c>
      <c r="AC56" s="29">
        <f>AC39*$E$34/12*$E$26</f>
        <v>0</v>
      </c>
      <c r="AD56" s="27" t="e">
        <f t="shared" si="55"/>
        <v>#DIV/0!</v>
      </c>
      <c r="AG56" s="28" t="s">
        <v>16</v>
      </c>
      <c r="AH56" s="1" t="s">
        <v>106</v>
      </c>
      <c r="AI56" s="35"/>
      <c r="AJ56" s="29" t="str">
        <f t="shared" ref="AJ56:AU56" si="70">IFERROR(AJ39*$E$34/12*$E$26,"")</f>
        <v/>
      </c>
      <c r="AK56" s="29" t="str">
        <f t="shared" si="70"/>
        <v/>
      </c>
      <c r="AL56" s="29" t="str">
        <f t="shared" si="70"/>
        <v/>
      </c>
      <c r="AM56" s="29" t="str">
        <f t="shared" si="70"/>
        <v/>
      </c>
      <c r="AN56" s="29" t="str">
        <f t="shared" si="70"/>
        <v/>
      </c>
      <c r="AO56" s="29" t="str">
        <f t="shared" si="70"/>
        <v/>
      </c>
      <c r="AP56" s="29" t="str">
        <f t="shared" si="70"/>
        <v/>
      </c>
      <c r="AQ56" s="29" t="str">
        <f t="shared" si="70"/>
        <v/>
      </c>
      <c r="AR56" s="29" t="str">
        <f t="shared" si="70"/>
        <v/>
      </c>
      <c r="AS56" s="29" t="str">
        <f t="shared" si="70"/>
        <v/>
      </c>
      <c r="AT56" s="29" t="str">
        <f t="shared" si="70"/>
        <v/>
      </c>
      <c r="AU56" s="29" t="str">
        <f t="shared" si="70"/>
        <v/>
      </c>
    </row>
    <row r="57" spans="16:47">
      <c r="Q57" s="64"/>
      <c r="R57" s="35" t="s">
        <v>109</v>
      </c>
      <c r="S57" s="29" t="e" cm="1">
        <f t="array" ref="S57">$AC57*E$6*E$9/(SUMPRODUCT($E$6:$N$6,$E$9:$N$9))</f>
        <v>#DIV/0!</v>
      </c>
      <c r="T57" s="29" t="e" cm="1">
        <f t="array" ref="T57">$AC57*F$6*F$9/(SUMPRODUCT($E$6:$N$6,$E$9:$N$9))</f>
        <v>#DIV/0!</v>
      </c>
      <c r="U57" s="29" t="e" cm="1">
        <f t="array" ref="U57">$AC57*G$6*G$9/(SUMPRODUCT($E$6:$N$6,$E$9:$N$9))</f>
        <v>#DIV/0!</v>
      </c>
      <c r="V57" s="29" t="e" cm="1">
        <f t="array" ref="V57">$AC57*H$6*H$9/(SUMPRODUCT($E$6:$N$6,$E$9:$N$9))</f>
        <v>#DIV/0!</v>
      </c>
      <c r="W57" s="29" t="e" cm="1">
        <f t="array" ref="W57">$AC57*I$6*I$9/(SUMPRODUCT($E$6:$N$6,$E$9:$N$9))</f>
        <v>#DIV/0!</v>
      </c>
      <c r="X57" s="29" t="e" cm="1">
        <f t="array" ref="X57">$AC57*J$6*J$9/(SUMPRODUCT($E$6:$N$6,$E$9:$N$9))</f>
        <v>#DIV/0!</v>
      </c>
      <c r="Y57" s="29" t="e" cm="1">
        <f t="array" ref="Y57">$AC57*K$6*K$9/(SUMPRODUCT($E$6:$N$6,$E$9:$N$9))</f>
        <v>#DIV/0!</v>
      </c>
      <c r="Z57" s="29" t="e" cm="1">
        <f t="array" ref="Z57">$AC57*L$6*L$9/(SUMPRODUCT($E$6:$N$6,$E$9:$N$9))</f>
        <v>#DIV/0!</v>
      </c>
      <c r="AA57" s="29" t="e" cm="1">
        <f t="array" ref="AA57">$AC57*M$6*M$9/(SUMPRODUCT($E$6:$N$6,$E$9:$N$9))</f>
        <v>#DIV/0!</v>
      </c>
      <c r="AB57" s="29" t="e" cm="1">
        <f t="array" ref="AB57">$AC57*N$6*N$9/(SUMPRODUCT($E$6:$N$6,$E$9:$N$9))</f>
        <v>#DIV/0!</v>
      </c>
      <c r="AC57" s="29" t="e">
        <f>($E$4*$E$13*12/$E$10+SUM(AC42:AC55))*$E$35/12*$E$27</f>
        <v>#DIV/0!</v>
      </c>
      <c r="AD57" s="27" t="e">
        <f t="shared" si="55"/>
        <v>#DIV/0!</v>
      </c>
      <c r="AG57" s="28"/>
      <c r="AH57" s="1" t="s">
        <v>109</v>
      </c>
      <c r="AI57" s="35"/>
      <c r="AJ57" s="29" t="str">
        <f t="shared" ref="AJ57:AU57" si="71">IF($E$3="纯租赁",IF(AJ38*12&lt;=$E$12,SUM(AJ41:AJ55)*$E$35/12*$E$27,""),IF(AJ38*12&lt;=$E$28,SUM(AJ41:AJ55)*$E$35/12*$E$27,""))</f>
        <v/>
      </c>
      <c r="AK57" s="29" t="str">
        <f t="shared" si="71"/>
        <v/>
      </c>
      <c r="AL57" s="29" t="str">
        <f t="shared" si="71"/>
        <v/>
      </c>
      <c r="AM57" s="29" t="str">
        <f t="shared" si="71"/>
        <v/>
      </c>
      <c r="AN57" s="29" t="str">
        <f t="shared" si="71"/>
        <v/>
      </c>
      <c r="AO57" s="29" t="str">
        <f t="shared" si="71"/>
        <v/>
      </c>
      <c r="AP57" s="29" t="str">
        <f t="shared" si="71"/>
        <v/>
      </c>
      <c r="AQ57" s="29" t="str">
        <f t="shared" si="71"/>
        <v/>
      </c>
      <c r="AR57" s="29" t="str">
        <f t="shared" si="71"/>
        <v/>
      </c>
      <c r="AS57" s="29" t="str">
        <f t="shared" si="71"/>
        <v/>
      </c>
      <c r="AT57" s="29" t="str">
        <f t="shared" si="71"/>
        <v/>
      </c>
      <c r="AU57" s="29" t="str">
        <f t="shared" si="71"/>
        <v/>
      </c>
    </row>
    <row r="58" spans="16:47">
      <c r="Q58" s="53" t="s">
        <v>17</v>
      </c>
      <c r="R58" s="65" t="s">
        <v>112</v>
      </c>
      <c r="S58" s="55" t="e" cm="1">
        <f t="array" ref="S58">$AC58*E$6*E$9/(SUMPRODUCT($E$6:$N$6,$E$9:$N$9))</f>
        <v>#DIV/0!</v>
      </c>
      <c r="T58" s="55" t="e" cm="1">
        <f t="array" ref="T58">$AC58*F$6*F$9/(SUMPRODUCT($E$6:$N$6,$E$9:$N$9))</f>
        <v>#DIV/0!</v>
      </c>
      <c r="U58" s="55" t="e" cm="1">
        <f t="array" ref="U58">$AC58*G$6*G$9/(SUMPRODUCT($E$6:$N$6,$E$9:$N$9))</f>
        <v>#DIV/0!</v>
      </c>
      <c r="V58" s="55" t="e" cm="1">
        <f t="array" ref="V58">$AC58*H$6*H$9/(SUMPRODUCT($E$6:$N$6,$E$9:$N$9))</f>
        <v>#DIV/0!</v>
      </c>
      <c r="W58" s="55" t="e" cm="1">
        <f t="array" ref="W58">$AC58*I$6*I$9/(SUMPRODUCT($E$6:$N$6,$E$9:$N$9))</f>
        <v>#DIV/0!</v>
      </c>
      <c r="X58" s="55" t="e" cm="1">
        <f t="array" ref="X58">$AC58*J$6*J$9/(SUMPRODUCT($E$6:$N$6,$E$9:$N$9))</f>
        <v>#DIV/0!</v>
      </c>
      <c r="Y58" s="55" t="e" cm="1">
        <f t="array" ref="Y58">$AC58*K$6*K$9/(SUMPRODUCT($E$6:$N$6,$E$9:$N$9))</f>
        <v>#DIV/0!</v>
      </c>
      <c r="Z58" s="55" t="e" cm="1">
        <f t="array" ref="Z58">$AC58*L$6*L$9/(SUMPRODUCT($E$6:$N$6,$E$9:$N$9))</f>
        <v>#DIV/0!</v>
      </c>
      <c r="AA58" s="55" t="e" cm="1">
        <f t="array" ref="AA58">$AC58*M$6*M$9/(SUMPRODUCT($E$6:$N$6,$E$9:$N$9))</f>
        <v>#DIV/0!</v>
      </c>
      <c r="AB58" s="55" t="e" cm="1">
        <f t="array" ref="AB58">$AC58*N$6*N$9/(SUMPRODUCT($E$6:$N$6,$E$9:$N$9))</f>
        <v>#DIV/0!</v>
      </c>
      <c r="AC58" s="55">
        <f>AC39*0.09/1.09</f>
        <v>0</v>
      </c>
      <c r="AD58" s="102" t="e">
        <f>AC60/AC61</f>
        <v>#DIV/0!</v>
      </c>
      <c r="AG58" s="53" t="s">
        <v>17</v>
      </c>
      <c r="AH58" s="54" t="s">
        <v>112</v>
      </c>
      <c r="AI58" s="65"/>
      <c r="AJ58" s="55" t="str">
        <f t="shared" ref="AJ58:AU58" si="72">IFERROR(AJ39*0.09/1.09,"")</f>
        <v/>
      </c>
      <c r="AK58" s="55" t="str">
        <f t="shared" si="72"/>
        <v/>
      </c>
      <c r="AL58" s="55" t="str">
        <f t="shared" si="72"/>
        <v/>
      </c>
      <c r="AM58" s="55" t="str">
        <f t="shared" si="72"/>
        <v/>
      </c>
      <c r="AN58" s="55" t="str">
        <f t="shared" si="72"/>
        <v/>
      </c>
      <c r="AO58" s="55" t="str">
        <f t="shared" si="72"/>
        <v/>
      </c>
      <c r="AP58" s="55" t="str">
        <f t="shared" si="72"/>
        <v/>
      </c>
      <c r="AQ58" s="55" t="str">
        <f t="shared" si="72"/>
        <v/>
      </c>
      <c r="AR58" s="55" t="str">
        <f t="shared" si="72"/>
        <v/>
      </c>
      <c r="AS58" s="55" t="str">
        <f t="shared" si="72"/>
        <v/>
      </c>
      <c r="AT58" s="55" t="str">
        <f t="shared" si="72"/>
        <v/>
      </c>
      <c r="AU58" s="55" t="str">
        <f t="shared" si="72"/>
        <v/>
      </c>
    </row>
    <row r="59" spans="16:47">
      <c r="Q59" s="64"/>
      <c r="R59" s="66" t="s">
        <v>115</v>
      </c>
      <c r="S59" s="57" t="e" cm="1">
        <f t="array" ref="S59">$AC59*E$6*E$9/(SUMPRODUCT($E$6:$N$6,$E$9:$N$9))</f>
        <v>#DIV/0!</v>
      </c>
      <c r="T59" s="57" t="e" cm="1">
        <f t="array" ref="T59">$AC59*F$6*F$9/(SUMPRODUCT($E$6:$N$6,$E$9:$N$9))</f>
        <v>#DIV/0!</v>
      </c>
      <c r="U59" s="57" t="e" cm="1">
        <f t="array" ref="U59">$AC59*G$6*G$9/(SUMPRODUCT($E$6:$N$6,$E$9:$N$9))</f>
        <v>#DIV/0!</v>
      </c>
      <c r="V59" s="57" t="e" cm="1">
        <f t="array" ref="V59">$AC59*H$6*H$9/(SUMPRODUCT($E$6:$N$6,$E$9:$N$9))</f>
        <v>#DIV/0!</v>
      </c>
      <c r="W59" s="57" t="e" cm="1">
        <f t="array" ref="W59">$AC59*I$6*I$9/(SUMPRODUCT($E$6:$N$6,$E$9:$N$9))</f>
        <v>#DIV/0!</v>
      </c>
      <c r="X59" s="57" t="e" cm="1">
        <f t="array" ref="X59">$AC59*J$6*J$9/(SUMPRODUCT($E$6:$N$6,$E$9:$N$9))</f>
        <v>#DIV/0!</v>
      </c>
      <c r="Y59" s="57" t="e" cm="1">
        <f t="array" ref="Y59">$AC59*K$6*K$9/(SUMPRODUCT($E$6:$N$6,$E$9:$N$9))</f>
        <v>#DIV/0!</v>
      </c>
      <c r="Z59" s="57" t="e" cm="1">
        <f t="array" ref="Z59">$AC59*L$6*L$9/(SUMPRODUCT($E$6:$N$6,$E$9:$N$9))</f>
        <v>#DIV/0!</v>
      </c>
      <c r="AA59" s="57" t="e" cm="1">
        <f t="array" ref="AA59">$AC59*M$6*M$9/(SUMPRODUCT($E$6:$N$6,$E$9:$N$9))</f>
        <v>#DIV/0!</v>
      </c>
      <c r="AB59" s="57" t="e" cm="1">
        <f t="array" ref="AB59">$AC59*N$6*N$9/(SUMPRODUCT($E$6:$N$6,$E$9:$N$9))</f>
        <v>#DIV/0!</v>
      </c>
      <c r="AC59" s="57" t="e">
        <f>(AC41+AC54+AC55)*0.13/1.13+AC46*0.06/1.06</f>
        <v>#DIV/0!</v>
      </c>
      <c r="AD59" s="103"/>
      <c r="AG59" s="28"/>
      <c r="AH59" s="56" t="s">
        <v>115</v>
      </c>
      <c r="AI59" s="57">
        <f>AI40*0.13/1.13</f>
        <v>0</v>
      </c>
      <c r="AJ59" s="57" t="str">
        <f t="shared" ref="AJ59:AU59" si="73">IFERROR((AJ41+AJ54+AJ55)*0.13/1.13+AJ46*0.06/1.06,"")</f>
        <v/>
      </c>
      <c r="AK59" s="57" t="str">
        <f t="shared" si="73"/>
        <v/>
      </c>
      <c r="AL59" s="57" t="str">
        <f t="shared" si="73"/>
        <v/>
      </c>
      <c r="AM59" s="57" t="str">
        <f t="shared" si="73"/>
        <v/>
      </c>
      <c r="AN59" s="57" t="str">
        <f t="shared" si="73"/>
        <v/>
      </c>
      <c r="AO59" s="57" t="str">
        <f t="shared" si="73"/>
        <v/>
      </c>
      <c r="AP59" s="57" t="str">
        <f t="shared" si="73"/>
        <v/>
      </c>
      <c r="AQ59" s="57" t="str">
        <f t="shared" si="73"/>
        <v/>
      </c>
      <c r="AR59" s="57" t="str">
        <f t="shared" si="73"/>
        <v/>
      </c>
      <c r="AS59" s="57" t="str">
        <f t="shared" si="73"/>
        <v/>
      </c>
      <c r="AT59" s="57" t="str">
        <f t="shared" si="73"/>
        <v/>
      </c>
      <c r="AU59" s="57" t="str">
        <f t="shared" si="73"/>
        <v/>
      </c>
    </row>
    <row r="60" spans="16:47">
      <c r="Q60" s="22"/>
      <c r="R60" s="23" t="s">
        <v>118</v>
      </c>
      <c r="S60" s="24" t="e">
        <f t="shared" ref="S60:AC60" si="74">MAX(0,S58-S59)</f>
        <v>#DIV/0!</v>
      </c>
      <c r="T60" s="24" t="e">
        <f t="shared" si="74"/>
        <v>#DIV/0!</v>
      </c>
      <c r="U60" s="24" t="e">
        <f t="shared" si="74"/>
        <v>#DIV/0!</v>
      </c>
      <c r="V60" s="24" t="e">
        <f t="shared" si="74"/>
        <v>#DIV/0!</v>
      </c>
      <c r="W60" s="24" t="e">
        <f t="shared" si="74"/>
        <v>#DIV/0!</v>
      </c>
      <c r="X60" s="24" t="e">
        <f t="shared" si="74"/>
        <v>#DIV/0!</v>
      </c>
      <c r="Y60" s="24" t="e">
        <f t="shared" si="74"/>
        <v>#DIV/0!</v>
      </c>
      <c r="Z60" s="24" t="e">
        <f t="shared" si="74"/>
        <v>#DIV/0!</v>
      </c>
      <c r="AA60" s="24" t="e">
        <f t="shared" si="74"/>
        <v>#DIV/0!</v>
      </c>
      <c r="AB60" s="24" t="e">
        <f t="shared" si="74"/>
        <v>#DIV/0!</v>
      </c>
      <c r="AC60" s="24" t="e">
        <f t="shared" si="74"/>
        <v>#DIV/0!</v>
      </c>
      <c r="AD60" s="104"/>
      <c r="AG60" s="22"/>
      <c r="AH60" s="50" t="s">
        <v>118</v>
      </c>
      <c r="AI60" s="24">
        <f>AI58-AI59</f>
        <v>0</v>
      </c>
      <c r="AJ60" s="24" t="str">
        <f t="shared" ref="AJ60:AU60" si="75">IFERROR(MAX(0,AJ58-AJ59),"")</f>
        <v/>
      </c>
      <c r="AK60" s="24" t="str">
        <f t="shared" si="75"/>
        <v/>
      </c>
      <c r="AL60" s="24" t="str">
        <f t="shared" si="75"/>
        <v/>
      </c>
      <c r="AM60" s="24" t="str">
        <f t="shared" si="75"/>
        <v/>
      </c>
      <c r="AN60" s="24" t="str">
        <f t="shared" si="75"/>
        <v/>
      </c>
      <c r="AO60" s="24" t="str">
        <f t="shared" si="75"/>
        <v/>
      </c>
      <c r="AP60" s="24" t="str">
        <f t="shared" si="75"/>
        <v/>
      </c>
      <c r="AQ60" s="24" t="str">
        <f t="shared" si="75"/>
        <v/>
      </c>
      <c r="AR60" s="24" t="str">
        <f t="shared" si="75"/>
        <v/>
      </c>
      <c r="AS60" s="24" t="str">
        <f t="shared" si="75"/>
        <v/>
      </c>
      <c r="AT60" s="24" t="str">
        <f t="shared" si="75"/>
        <v/>
      </c>
      <c r="AU60" s="24" t="str">
        <f t="shared" si="75"/>
        <v/>
      </c>
    </row>
    <row r="61" ht="16.5" spans="16:47">
      <c r="Q61" s="44" t="s">
        <v>138</v>
      </c>
      <c r="R61" s="44"/>
      <c r="S61" s="76" t="e">
        <f t="shared" ref="S61:AB61" si="76">SUM(S41:S57)+S60</f>
        <v>#DIV/0!</v>
      </c>
      <c r="T61" s="76" t="e">
        <f t="shared" si="76"/>
        <v>#DIV/0!</v>
      </c>
      <c r="U61" s="76" t="e">
        <f t="shared" si="76"/>
        <v>#DIV/0!</v>
      </c>
      <c r="V61" s="76" t="e">
        <f t="shared" si="76"/>
        <v>#DIV/0!</v>
      </c>
      <c r="W61" s="76" t="e">
        <f t="shared" si="76"/>
        <v>#DIV/0!</v>
      </c>
      <c r="X61" s="76" t="e">
        <f t="shared" si="76"/>
        <v>#DIV/0!</v>
      </c>
      <c r="Y61" s="76" t="e">
        <f t="shared" si="76"/>
        <v>#DIV/0!</v>
      </c>
      <c r="Z61" s="76" t="e">
        <f t="shared" si="76"/>
        <v>#DIV/0!</v>
      </c>
      <c r="AA61" s="76" t="e">
        <f t="shared" si="76"/>
        <v>#DIV/0!</v>
      </c>
      <c r="AB61" s="76" t="e">
        <f t="shared" si="76"/>
        <v>#DIV/0!</v>
      </c>
      <c r="AC61" s="77" t="e">
        <f>SUM(AC41:AC57)+MAX(0,AC58-AC59)</f>
        <v>#DIV/0!</v>
      </c>
      <c r="AD61" s="77"/>
      <c r="AG61" s="48" t="s">
        <v>121</v>
      </c>
      <c r="AH61" s="48"/>
      <c r="AI61" s="58">
        <f>-AI40+AI60</f>
        <v>0</v>
      </c>
      <c r="AJ61" s="58" t="str">
        <f t="shared" ref="AJ61:AU61" si="77">IFERROR(AJ39-SUM(AJ41:AJ57)-AJ60,"")</f>
        <v/>
      </c>
      <c r="AK61" s="58" t="str">
        <f t="shared" si="77"/>
        <v/>
      </c>
      <c r="AL61" s="58" t="str">
        <f t="shared" si="77"/>
        <v/>
      </c>
      <c r="AM61" s="58" t="str">
        <f t="shared" si="77"/>
        <v/>
      </c>
      <c r="AN61" s="58" t="str">
        <f t="shared" si="77"/>
        <v/>
      </c>
      <c r="AO61" s="58" t="str">
        <f t="shared" si="77"/>
        <v/>
      </c>
      <c r="AP61" s="58" t="str">
        <f t="shared" si="77"/>
        <v/>
      </c>
      <c r="AQ61" s="58" t="str">
        <f t="shared" si="77"/>
        <v/>
      </c>
      <c r="AR61" s="58" t="str">
        <f t="shared" si="77"/>
        <v/>
      </c>
      <c r="AS61" s="58" t="str">
        <f t="shared" si="77"/>
        <v/>
      </c>
      <c r="AT61" s="58" t="str">
        <f t="shared" si="77"/>
        <v/>
      </c>
      <c r="AU61" s="58" t="str">
        <f t="shared" si="77"/>
        <v/>
      </c>
    </row>
    <row r="62" ht="16.5" spans="16:47">
      <c r="Q62" s="69" t="s">
        <v>140</v>
      </c>
      <c r="R62" s="69"/>
      <c r="S62" s="58" t="e">
        <f t="shared" ref="S62:AB62" si="78">S40-S61</f>
        <v>#DIV/0!</v>
      </c>
      <c r="T62" s="58" t="e">
        <f t="shared" si="78"/>
        <v>#DIV/0!</v>
      </c>
      <c r="U62" s="58" t="e">
        <f t="shared" si="78"/>
        <v>#DIV/0!</v>
      </c>
      <c r="V62" s="58" t="e">
        <f t="shared" si="78"/>
        <v>#DIV/0!</v>
      </c>
      <c r="W62" s="58" t="e">
        <f t="shared" si="78"/>
        <v>#DIV/0!</v>
      </c>
      <c r="X62" s="58" t="e">
        <f t="shared" si="78"/>
        <v>#DIV/0!</v>
      </c>
      <c r="Y62" s="58" t="e">
        <f t="shared" si="78"/>
        <v>#DIV/0!</v>
      </c>
      <c r="Z62" s="58" t="e">
        <f t="shared" si="78"/>
        <v>#DIV/0!</v>
      </c>
      <c r="AA62" s="58" t="e">
        <f t="shared" si="78"/>
        <v>#DIV/0!</v>
      </c>
      <c r="AB62" s="58" t="e">
        <f t="shared" si="78"/>
        <v>#DIV/0!</v>
      </c>
      <c r="AC62" s="86" t="e">
        <f>AC39-AC61</f>
        <v>#DIV/0!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 t="str">
        <f>IF($E$3="纯租赁",IF(AJ38*12&lt;=$E$12,SUM($AI$61:AJ61),""),IF(AJ38*12&lt;=$E$28,SUM($AI$61:AJ61),""))</f>
        <v/>
      </c>
      <c r="AK62" s="58" t="str">
        <f>IF($E$3="纯租赁",IF(AK38*12&lt;=$E$12,SUM($AI$61:AK61),""),IF(AK38*12&lt;=$E$28,SUM($AI$61:AK61),""))</f>
        <v/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79">IF($E$3="纯租赁",S68+1,S68+1)</f>
        <v>2</v>
      </c>
      <c r="U68" s="87">
        <f t="shared" si="79"/>
        <v>3</v>
      </c>
      <c r="V68" s="87">
        <f t="shared" si="79"/>
        <v>4</v>
      </c>
      <c r="W68" s="87">
        <f t="shared" si="79"/>
        <v>5</v>
      </c>
      <c r="X68" s="87">
        <f t="shared" si="79"/>
        <v>6</v>
      </c>
      <c r="Y68" s="87">
        <f t="shared" si="79"/>
        <v>7</v>
      </c>
      <c r="Z68" s="87">
        <f t="shared" si="79"/>
        <v>8</v>
      </c>
      <c r="AA68" s="87">
        <f t="shared" si="79"/>
        <v>9</v>
      </c>
      <c r="AB68" s="87">
        <f t="shared" si="79"/>
        <v>10</v>
      </c>
      <c r="AC68" s="87">
        <f t="shared" si="79"/>
        <v>11</v>
      </c>
      <c r="AD68" s="87">
        <f t="shared" si="79"/>
        <v>12</v>
      </c>
    </row>
    <row r="69" spans="17:35">
      <c r="Q69" s="64" t="s">
        <v>13</v>
      </c>
      <c r="R69" s="35" t="s">
        <v>49</v>
      </c>
      <c r="S69" s="29" t="str" cm="1">
        <f t="array" ref="S69">IF($E$3="纯租赁",IF(S68*12&lt;=$E$12,$E$4*SUMPRODUCT($E$7:$N$7,$E$8:$N$8,$E$9:$N$9)*$E$10,""),$E$4*SUMPRODUCT($E$7:$N$7,$E$8:$N$8,$E$9:$N$9)*$E$10)</f>
        <v/>
      </c>
      <c r="T69" s="29" t="str" cm="1">
        <f t="array" ref="T69">IF($E$3="纯租赁",IF(T68*12&lt;=$E$12,$E$4*SUMPRODUCT($E$7:$N$7,$E$8:$N$8,$E$9:$N$9)*$E$10,""),$E$4*SUMPRODUCT($E$7:$N$7,$E$8:$N$8,$E$9:$N$9)*$E$10)</f>
        <v/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 t="str">
        <f t="shared" ref="S70:AD70" si="80">S69</f>
        <v/>
      </c>
      <c r="T70" s="76" t="str">
        <f t="shared" si="80"/>
        <v/>
      </c>
      <c r="U70" s="76" t="str">
        <f t="shared" si="80"/>
        <v/>
      </c>
      <c r="V70" s="76" t="str">
        <f t="shared" si="80"/>
        <v/>
      </c>
      <c r="W70" s="76" t="str">
        <f t="shared" si="80"/>
        <v/>
      </c>
      <c r="X70" s="76" t="str">
        <f t="shared" si="80"/>
        <v/>
      </c>
      <c r="Y70" s="76" t="str">
        <f t="shared" si="80"/>
        <v/>
      </c>
      <c r="Z70" s="76" t="str">
        <f t="shared" si="80"/>
        <v/>
      </c>
      <c r="AA70" s="76" t="str">
        <f t="shared" si="80"/>
        <v/>
      </c>
      <c r="AB70" s="76" t="str">
        <f t="shared" si="80"/>
        <v/>
      </c>
      <c r="AC70" s="76" t="str">
        <f t="shared" si="80"/>
        <v/>
      </c>
      <c r="AD70" s="76" t="str">
        <f t="shared" si="80"/>
        <v/>
      </c>
    </row>
    <row r="71" spans="17:35">
      <c r="Q71" s="28" t="s">
        <v>14</v>
      </c>
      <c r="R71" s="35" t="s">
        <v>79</v>
      </c>
      <c r="S71" s="29" t="str">
        <f>_xlfn.LET(_xlpm.a,$E$4*$E$13,_xlpm.b,$E$4*($E$11/MAX(36,S68*12)+$E$13),IF($E$3="纯租赁",IF(S68*12&lt;=$E$12,_xlpm.a*12,""),_xlpm.b*12))</f>
        <v/>
      </c>
      <c r="T71" s="29" t="str">
        <f>_xlfn.LET(_xlpm.a,$E$4*$E$13,_xlpm.b,$E$4*($E$11/MAX(36,T68*12)+$E$13),IF($E$3="纯租赁",IF(T68*12&lt;=$E$12,_xlpm.a*12,""),_xlpm.b*12))</f>
        <v/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 t="str">
        <f t="shared" ref="S72:AD72" si="81">IF($E$3="纯租赁",IF(S68*12&lt;=$E$12,$E$14*$E$4*12,""),$E$14*$E$4*12)</f>
        <v/>
      </c>
      <c r="T72" s="29" t="str">
        <f t="shared" si="81"/>
        <v/>
      </c>
      <c r="U72" s="29" t="str">
        <f t="shared" si="81"/>
        <v/>
      </c>
      <c r="V72" s="29" t="str">
        <f t="shared" si="81"/>
        <v/>
      </c>
      <c r="W72" s="29" t="str">
        <f t="shared" si="81"/>
        <v/>
      </c>
      <c r="X72" s="29" t="str">
        <f t="shared" si="81"/>
        <v/>
      </c>
      <c r="Y72" s="29" t="str">
        <f t="shared" si="81"/>
        <v/>
      </c>
      <c r="Z72" s="29" t="str">
        <f t="shared" si="81"/>
        <v/>
      </c>
      <c r="AA72" s="29" t="str">
        <f t="shared" si="81"/>
        <v/>
      </c>
      <c r="AB72" s="29" t="str">
        <f t="shared" si="81"/>
        <v/>
      </c>
      <c r="AC72" s="29" t="str">
        <f t="shared" si="81"/>
        <v/>
      </c>
      <c r="AD72" s="29" t="str">
        <f t="shared" si="81"/>
        <v/>
      </c>
    </row>
    <row r="73" spans="17:35">
      <c r="Q73" s="28"/>
      <c r="R73" s="35" t="s">
        <v>64</v>
      </c>
      <c r="S73" s="29" t="str">
        <f t="shared" ref="S73:AD73" si="82">IF($E$3="纯租赁",IF(S68*12&lt;=$E$12,$E$4*$E$15*12,""),$E$4*$E$15*12)</f>
        <v/>
      </c>
      <c r="T73" s="29" t="str">
        <f t="shared" si="82"/>
        <v/>
      </c>
      <c r="U73" s="29" t="str">
        <f t="shared" si="82"/>
        <v/>
      </c>
      <c r="V73" s="29" t="str">
        <f t="shared" si="82"/>
        <v/>
      </c>
      <c r="W73" s="29" t="str">
        <f t="shared" si="82"/>
        <v/>
      </c>
      <c r="X73" s="29" t="str">
        <f t="shared" si="82"/>
        <v/>
      </c>
      <c r="Y73" s="29" t="str">
        <f t="shared" si="82"/>
        <v/>
      </c>
      <c r="Z73" s="29" t="str">
        <f t="shared" si="82"/>
        <v/>
      </c>
      <c r="AA73" s="29" t="str">
        <f t="shared" si="82"/>
        <v/>
      </c>
      <c r="AB73" s="29" t="str">
        <f t="shared" si="82"/>
        <v/>
      </c>
      <c r="AC73" s="29" t="str">
        <f t="shared" si="82"/>
        <v/>
      </c>
      <c r="AD73" s="29" t="str">
        <f t="shared" si="82"/>
        <v/>
      </c>
    </row>
    <row r="74" spans="17:35">
      <c r="Q74" s="28"/>
      <c r="R74" s="35" t="s">
        <v>68</v>
      </c>
      <c r="S74" s="29" t="str">
        <f t="shared" ref="S74:AD74" si="83">IF($E$3="纯租赁",IF(S68*12&lt;=$E$12,$E$4*$E$16*12,""),$E$4*$E$16*12)</f>
        <v/>
      </c>
      <c r="T74" s="29" t="str">
        <f t="shared" si="83"/>
        <v/>
      </c>
      <c r="U74" s="29" t="str">
        <f t="shared" si="83"/>
        <v/>
      </c>
      <c r="V74" s="29" t="str">
        <f t="shared" si="83"/>
        <v/>
      </c>
      <c r="W74" s="29" t="str">
        <f t="shared" si="83"/>
        <v/>
      </c>
      <c r="X74" s="29" t="str">
        <f t="shared" si="83"/>
        <v/>
      </c>
      <c r="Y74" s="29" t="str">
        <f t="shared" si="83"/>
        <v/>
      </c>
      <c r="Z74" s="29" t="str">
        <f t="shared" si="83"/>
        <v/>
      </c>
      <c r="AA74" s="29" t="str">
        <f t="shared" si="83"/>
        <v/>
      </c>
      <c r="AB74" s="29" t="str">
        <f t="shared" si="83"/>
        <v/>
      </c>
      <c r="AC74" s="29" t="str">
        <f t="shared" si="83"/>
        <v/>
      </c>
      <c r="AD74" s="29" t="str">
        <f t="shared" si="83"/>
        <v/>
      </c>
    </row>
    <row r="75" spans="17:35">
      <c r="Q75" s="28"/>
      <c r="R75" s="35" t="s">
        <v>71</v>
      </c>
      <c r="S75" s="29" t="str">
        <f t="shared" ref="S75:AD75" si="84">IF($E$3="纯租赁",IF(S68*12&lt;=$E$12,$E$4*$E$17*12,""),$E$4*$E$17*12)</f>
        <v/>
      </c>
      <c r="T75" s="29" t="str">
        <f t="shared" si="84"/>
        <v/>
      </c>
      <c r="U75" s="29" t="str">
        <f t="shared" si="84"/>
        <v/>
      </c>
      <c r="V75" s="29" t="str">
        <f t="shared" si="84"/>
        <v/>
      </c>
      <c r="W75" s="29" t="str">
        <f t="shared" si="84"/>
        <v/>
      </c>
      <c r="X75" s="29" t="str">
        <f t="shared" si="84"/>
        <v/>
      </c>
      <c r="Y75" s="29" t="str">
        <f t="shared" si="84"/>
        <v/>
      </c>
      <c r="Z75" s="29" t="str">
        <f t="shared" si="84"/>
        <v/>
      </c>
      <c r="AA75" s="29" t="str">
        <f t="shared" si="84"/>
        <v/>
      </c>
      <c r="AB75" s="29" t="str">
        <f t="shared" si="84"/>
        <v/>
      </c>
      <c r="AC75" s="29" t="str">
        <f t="shared" si="84"/>
        <v/>
      </c>
      <c r="AD75" s="29" t="str">
        <f t="shared" si="84"/>
        <v/>
      </c>
    </row>
    <row r="76" spans="17:35">
      <c r="Q76" s="28"/>
      <c r="R76" s="35" t="s">
        <v>74</v>
      </c>
      <c r="S76" s="29" t="str">
        <f t="shared" ref="S76:AD76" si="85">IF($E$3="纯租赁",IF(S68*12&lt;=$E$12,$E$4*$E$18*12,""),$E$4*$E$18*12)</f>
        <v/>
      </c>
      <c r="T76" s="29" t="str">
        <f t="shared" si="85"/>
        <v/>
      </c>
      <c r="U76" s="29" t="str">
        <f t="shared" si="85"/>
        <v/>
      </c>
      <c r="V76" s="29" t="str">
        <f t="shared" si="85"/>
        <v/>
      </c>
      <c r="W76" s="29" t="str">
        <f t="shared" si="85"/>
        <v/>
      </c>
      <c r="X76" s="29" t="str">
        <f t="shared" si="85"/>
        <v/>
      </c>
      <c r="Y76" s="29" t="str">
        <f t="shared" si="85"/>
        <v/>
      </c>
      <c r="Z76" s="29" t="str">
        <f t="shared" si="85"/>
        <v/>
      </c>
      <c r="AA76" s="29" t="str">
        <f t="shared" si="85"/>
        <v/>
      </c>
      <c r="AB76" s="29" t="str">
        <f t="shared" si="85"/>
        <v/>
      </c>
      <c r="AC76" s="29" t="str">
        <f t="shared" si="85"/>
        <v/>
      </c>
      <c r="AD76" s="29" t="str">
        <f t="shared" si="85"/>
        <v/>
      </c>
    </row>
    <row r="77" spans="17:35">
      <c r="Q77" s="28"/>
      <c r="R77" s="35" t="s">
        <v>78</v>
      </c>
      <c r="S77" s="29" t="str">
        <f t="shared" ref="S77:AD77" si="86">IF($E$3="纯租赁",IF(S68*12&lt;=$E$12,$E$4*$E$19*12,""),$E$4*$E$19*12)</f>
        <v/>
      </c>
      <c r="T77" s="29" t="str">
        <f t="shared" si="86"/>
        <v/>
      </c>
      <c r="U77" s="29" t="str">
        <f t="shared" si="86"/>
        <v/>
      </c>
      <c r="V77" s="29" t="str">
        <f t="shared" si="86"/>
        <v/>
      </c>
      <c r="W77" s="29" t="str">
        <f t="shared" si="86"/>
        <v/>
      </c>
      <c r="X77" s="29" t="str">
        <f t="shared" si="86"/>
        <v/>
      </c>
      <c r="Y77" s="29" t="str">
        <f t="shared" si="86"/>
        <v/>
      </c>
      <c r="Z77" s="29" t="str">
        <f t="shared" si="86"/>
        <v/>
      </c>
      <c r="AA77" s="29" t="str">
        <f t="shared" si="86"/>
        <v/>
      </c>
      <c r="AB77" s="29" t="str">
        <f t="shared" si="86"/>
        <v/>
      </c>
      <c r="AC77" s="29" t="str">
        <f t="shared" si="86"/>
        <v/>
      </c>
      <c r="AD77" s="29" t="str">
        <f t="shared" si="86"/>
        <v/>
      </c>
    </row>
    <row r="78" spans="17:35">
      <c r="Q78" s="28"/>
      <c r="R78" s="35" t="s">
        <v>82</v>
      </c>
      <c r="S78" s="29" t="str">
        <f t="shared" ref="S78:AD78" si="87">IF($E$3="纯租赁",IF(S68*12&lt;=$E$12,$E$4*$E$20*12,""),$E$4*$E$20*12)</f>
        <v/>
      </c>
      <c r="T78" s="29" t="str">
        <f t="shared" si="87"/>
        <v/>
      </c>
      <c r="U78" s="29" t="str">
        <f t="shared" si="87"/>
        <v/>
      </c>
      <c r="V78" s="29" t="str">
        <f t="shared" si="87"/>
        <v/>
      </c>
      <c r="W78" s="29" t="str">
        <f t="shared" si="87"/>
        <v/>
      </c>
      <c r="X78" s="29" t="str">
        <f t="shared" si="87"/>
        <v/>
      </c>
      <c r="Y78" s="29" t="str">
        <f t="shared" si="87"/>
        <v/>
      </c>
      <c r="Z78" s="29" t="str">
        <f t="shared" si="87"/>
        <v/>
      </c>
      <c r="AA78" s="29" t="str">
        <f t="shared" si="87"/>
        <v/>
      </c>
      <c r="AB78" s="29" t="str">
        <f t="shared" si="87"/>
        <v/>
      </c>
      <c r="AC78" s="29" t="str">
        <f t="shared" si="87"/>
        <v/>
      </c>
      <c r="AD78" s="29" t="str">
        <f t="shared" si="87"/>
        <v/>
      </c>
    </row>
    <row r="79" spans="17:35">
      <c r="Q79" s="28"/>
      <c r="R79" s="23" t="s">
        <v>85</v>
      </c>
      <c r="S79" s="24" t="str">
        <f t="shared" ref="S79:AD79" si="88">IF($E$3="纯租赁",IF(S68*12&lt;=$E$12,$E$4*$E$21*12,""),$E$4*$E$21*12)</f>
        <v/>
      </c>
      <c r="T79" s="24" t="str">
        <f t="shared" si="88"/>
        <v/>
      </c>
      <c r="U79" s="24" t="str">
        <f t="shared" si="88"/>
        <v/>
      </c>
      <c r="V79" s="24" t="str">
        <f t="shared" si="88"/>
        <v/>
      </c>
      <c r="W79" s="24" t="str">
        <f t="shared" si="88"/>
        <v/>
      </c>
      <c r="X79" s="24" t="str">
        <f t="shared" si="88"/>
        <v/>
      </c>
      <c r="Y79" s="24" t="str">
        <f t="shared" si="88"/>
        <v/>
      </c>
      <c r="Z79" s="24" t="str">
        <f t="shared" si="88"/>
        <v/>
      </c>
      <c r="AA79" s="24" t="str">
        <f t="shared" si="88"/>
        <v/>
      </c>
      <c r="AB79" s="24" t="str">
        <f t="shared" si="88"/>
        <v/>
      </c>
      <c r="AC79" s="24" t="str">
        <f t="shared" si="88"/>
        <v/>
      </c>
      <c r="AD79" s="24" t="str">
        <f t="shared" si="88"/>
        <v/>
      </c>
    </row>
    <row r="80" spans="17:35">
      <c r="Q80" s="53" t="s">
        <v>15</v>
      </c>
      <c r="R80" s="35" t="s">
        <v>88</v>
      </c>
      <c r="S80" s="29" t="str" cm="1">
        <f t="array" ref="S80">IF($E$3="纯租赁",IF(S68*12&lt;=$E$12,$E$4*SUMPRODUCT($E$9:$N$9,$E$22:$N$22)*$E$10,""),$E$4*SUMPRODUCT($E$9:$N$9,$E$22:$N$22)*$E$10)</f>
        <v/>
      </c>
      <c r="T80" s="29" t="str" cm="1">
        <f t="array" ref="T80">IF($E$3="纯租赁",IF(T68*12&lt;=$E$12,$E$4*SUMPRODUCT($E$9:$N$9,$E$22:$N$22)*$E$10,""),$E$4*SUMPRODUCT($E$9:$N$9,$E$22:$N$22)*$E$10)</f>
        <v/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t="str" cm="1">
        <f t="array" ref="S81">IF($E$3="纯租赁",IF(S68*12&lt;=$E$12,$E$4*SUMPRODUCT($E$9:$N$9,$E$23:$N$23)*$E$10,""),$E$4*SUMPRODUCT($E$9:$N$9,$E$23:$N$23)*$E$10)</f>
        <v/>
      </c>
      <c r="T81" s="29" t="str" cm="1">
        <f t="array" ref="T81">IF($E$3="纯租赁",IF(T68*12&lt;=$E$12,$E$4*SUMPRODUCT($E$9:$N$9,$E$23:$N$23)*$E$10,""),$E$4*SUMPRODUCT($E$9:$N$9,$E$23:$N$23)*$E$10)</f>
        <v/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t="str" cm="1">
        <f t="array" ref="S82">IF($E$3="纯租赁",IF(S68*12&lt;=$E$12,$E$4*$E$10*SUMPRODUCT($E$9:$N$9,$E$24:$N$24),""),$E$4*$E$10*SUMPRODUCT($E$9:$N$9,$E$24:$N$24))</f>
        <v/>
      </c>
      <c r="T82" s="29" t="str" cm="1">
        <f t="array" ref="T82">IF($E$3="纯租赁",IF(T68*12&lt;=$E$12,$E$4*$E$10*SUMPRODUCT($E$9:$N$9,$E$24:$N$24),""),$E$4*$E$10*SUMPRODUCT($E$9:$N$9,$E$24:$N$24))</f>
        <v/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t="str" cm="1">
        <f t="array" ref="S83">IF($E$3="纯租赁",IF(S68*12&lt;=$E$12,$E$4*$E$10*SUMPRODUCT($E$25:$N$25,$E$9:$N$9),""),$E$4*$E$10*SUMPRODUCT($E$25:$N$25,$E$9:$N$9))</f>
        <v/>
      </c>
      <c r="T83" s="29" t="str" cm="1">
        <f t="array" ref="T83">IF($E$3="纯租赁",IF(T68*12&lt;=$E$12,$E$4*$E$10*SUMPRODUCT($E$25:$N$25,$E$9:$N$9),""),$E$4*$E$10*SUMPRODUCT($E$25:$N$25,$E$9:$N$9))</f>
        <v/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t="str" cm="1">
        <f t="array" ref="S84">IF($E$3="纯租赁",IF(S68*12&lt;=$E$12,$E$4*$E$5*$E$10*SUMPRODUCT(IF($E$8:$N$8,$E$32,$E$33),$E$6:$N$6,$E$9:$N$9),""),$E$4*$E$5*$E$10*SUMPRODUCT(IF($E$8:$N$8,$E$32,$E$33),$E$6:$N$6,$E$9:$N$9))</f>
        <v/>
      </c>
      <c r="T84" s="29" t="str" cm="1">
        <f t="array" ref="T84">IF($E$3="纯租赁",IF(T68*12&lt;=$E$12,$E$4*$E$5*$E$10*SUMPRODUCT(IF($E$8:$N$8,$E$32,$E$33),$E$6:$N$6,$E$9:$N$9),""),$E$4*$E$5*$E$10*SUMPRODUCT(IF($E$8:$N$8,$E$32,$E$33),$E$6:$N$6,$E$9:$N$9))</f>
        <v/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t="str" cm="1">
        <f t="array" ref="S85">IF($E$3="纯租赁",IF(S68*12&lt;=$E$12,SUMPRODUCT($E$6:$N$6,$E$9:$N$9)*$E$10/$E$29*$E$30*$E$4*$E$31,""),SUMPRODUCT($E$6:$N$6,$E$9:$N$9)*$E$10/$E$29*$E$30*$E$4*$E$31)</f>
        <v/>
      </c>
      <c r="T85" s="24" t="str" cm="1">
        <f t="array" ref="T85">IF($E$3="纯租赁",IF(T68*12&lt;=$E$12,SUMPRODUCT($E$6:$N$6,$E$9:$N$9)*$E$10/$E$29*$E$30*$E$4*$E$31,""),SUMPRODUCT($E$6:$N$6,$E$9:$N$9)*$E$10/$E$29*$E$30*$E$4*$E$31)</f>
        <v/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 t="str">
        <f t="shared" ref="S86:AD86" si="89">IFERROR(S69*$E$34/12*$E$26,"")</f>
        <v/>
      </c>
      <c r="T86" s="29" t="str">
        <f t="shared" si="89"/>
        <v/>
      </c>
      <c r="U86" s="29" t="str">
        <f t="shared" si="89"/>
        <v/>
      </c>
      <c r="V86" s="29" t="str">
        <f t="shared" si="89"/>
        <v/>
      </c>
      <c r="W86" s="29" t="str">
        <f t="shared" si="89"/>
        <v/>
      </c>
      <c r="X86" s="29" t="str">
        <f t="shared" si="89"/>
        <v/>
      </c>
      <c r="Y86" s="29" t="str">
        <f t="shared" si="89"/>
        <v/>
      </c>
      <c r="Z86" s="29" t="str">
        <f t="shared" si="89"/>
        <v/>
      </c>
      <c r="AA86" s="29" t="str">
        <f t="shared" si="89"/>
        <v/>
      </c>
      <c r="AB86" s="29" t="str">
        <f t="shared" si="89"/>
        <v/>
      </c>
      <c r="AC86" s="29" t="str">
        <f t="shared" si="89"/>
        <v/>
      </c>
      <c r="AD86" s="29" t="str">
        <f t="shared" si="89"/>
        <v/>
      </c>
    </row>
    <row r="87" spans="17:30">
      <c r="Q87" s="64"/>
      <c r="R87" s="35" t="s">
        <v>109</v>
      </c>
      <c r="S87" s="29" t="str">
        <f t="shared" ref="S87:AD87" si="90">IF($E$3="纯租赁",IF(S68*12&lt;=$E$12,($E$4*$E$13*12+SUM(S72:S85))*$E$35/12*$E$27,""),($E$4*$E$13*12+SUM(S72:S85))*$E$35/12*$E$27)</f>
        <v/>
      </c>
      <c r="T87" s="29" t="str">
        <f t="shared" si="90"/>
        <v/>
      </c>
      <c r="U87" s="29" t="str">
        <f t="shared" si="90"/>
        <v/>
      </c>
      <c r="V87" s="29" t="str">
        <f t="shared" si="90"/>
        <v/>
      </c>
      <c r="W87" s="29" t="str">
        <f t="shared" si="90"/>
        <v/>
      </c>
      <c r="X87" s="29" t="str">
        <f t="shared" si="90"/>
        <v/>
      </c>
      <c r="Y87" s="29" t="str">
        <f t="shared" si="90"/>
        <v/>
      </c>
      <c r="Z87" s="29" t="str">
        <f t="shared" si="90"/>
        <v/>
      </c>
      <c r="AA87" s="29" t="str">
        <f t="shared" si="90"/>
        <v/>
      </c>
      <c r="AB87" s="29" t="str">
        <f t="shared" si="90"/>
        <v/>
      </c>
      <c r="AC87" s="29" t="str">
        <f t="shared" si="90"/>
        <v/>
      </c>
      <c r="AD87" s="29" t="str">
        <f t="shared" si="90"/>
        <v/>
      </c>
    </row>
    <row r="88" spans="17:30">
      <c r="Q88" s="53" t="s">
        <v>17</v>
      </c>
      <c r="R88" s="65" t="s">
        <v>112</v>
      </c>
      <c r="S88" s="55" t="str">
        <f t="shared" ref="S88:AD88" si="91">IFERROR(S69*0.09/1.09,"")</f>
        <v/>
      </c>
      <c r="T88" s="55" t="str">
        <f t="shared" si="91"/>
        <v/>
      </c>
      <c r="U88" s="55" t="str">
        <f t="shared" si="91"/>
        <v/>
      </c>
      <c r="V88" s="55" t="str">
        <f t="shared" si="91"/>
        <v/>
      </c>
      <c r="W88" s="55" t="str">
        <f t="shared" si="91"/>
        <v/>
      </c>
      <c r="X88" s="55" t="str">
        <f t="shared" si="91"/>
        <v/>
      </c>
      <c r="Y88" s="55" t="str">
        <f t="shared" si="91"/>
        <v/>
      </c>
      <c r="Z88" s="55" t="str">
        <f t="shared" si="91"/>
        <v/>
      </c>
      <c r="AA88" s="55" t="str">
        <f t="shared" si="91"/>
        <v/>
      </c>
      <c r="AB88" s="55" t="str">
        <f t="shared" si="91"/>
        <v/>
      </c>
      <c r="AC88" s="55" t="str">
        <f t="shared" si="91"/>
        <v/>
      </c>
      <c r="AD88" s="55" t="str">
        <f t="shared" si="91"/>
        <v/>
      </c>
    </row>
    <row r="89" spans="17:30">
      <c r="Q89" s="64"/>
      <c r="R89" s="66" t="s">
        <v>115</v>
      </c>
      <c r="S89" s="57" t="str">
        <f t="shared" ref="S89:AD89" si="92">IFERROR((S71+S84+S85)*0.13/1.13+S76*0.06/1.06,"")</f>
        <v/>
      </c>
      <c r="T89" s="57" t="str">
        <f t="shared" si="92"/>
        <v/>
      </c>
      <c r="U89" s="57" t="str">
        <f t="shared" si="92"/>
        <v/>
      </c>
      <c r="V89" s="57" t="str">
        <f t="shared" si="92"/>
        <v/>
      </c>
      <c r="W89" s="57" t="str">
        <f t="shared" si="92"/>
        <v/>
      </c>
      <c r="X89" s="57" t="str">
        <f t="shared" si="92"/>
        <v/>
      </c>
      <c r="Y89" s="57" t="str">
        <f t="shared" si="92"/>
        <v/>
      </c>
      <c r="Z89" s="57" t="str">
        <f t="shared" si="92"/>
        <v/>
      </c>
      <c r="AA89" s="57" t="str">
        <f t="shared" si="92"/>
        <v/>
      </c>
      <c r="AB89" s="57" t="str">
        <f t="shared" si="92"/>
        <v/>
      </c>
      <c r="AC89" s="57" t="str">
        <f t="shared" si="92"/>
        <v/>
      </c>
      <c r="AD89" s="57" t="str">
        <f t="shared" si="92"/>
        <v/>
      </c>
    </row>
    <row r="90" spans="17:30">
      <c r="Q90" s="22"/>
      <c r="R90" s="23" t="s">
        <v>118</v>
      </c>
      <c r="S90" s="24" t="str">
        <f t="shared" ref="S90:AD90" si="93">IFERROR(MAX(0,S88-S89),"")</f>
        <v/>
      </c>
      <c r="T90" s="24" t="str">
        <f t="shared" si="93"/>
        <v/>
      </c>
      <c r="U90" s="24" t="str">
        <f t="shared" si="93"/>
        <v/>
      </c>
      <c r="V90" s="24" t="str">
        <f t="shared" si="93"/>
        <v/>
      </c>
      <c r="W90" s="24" t="str">
        <f t="shared" si="93"/>
        <v/>
      </c>
      <c r="X90" s="24" t="str">
        <f t="shared" si="93"/>
        <v/>
      </c>
      <c r="Y90" s="24" t="str">
        <f t="shared" si="93"/>
        <v/>
      </c>
      <c r="Z90" s="24" t="str">
        <f t="shared" si="93"/>
        <v/>
      </c>
      <c r="AA90" s="24" t="str">
        <f t="shared" si="93"/>
        <v/>
      </c>
      <c r="AB90" s="24" t="str">
        <f t="shared" si="93"/>
        <v/>
      </c>
      <c r="AC90" s="24" t="str">
        <f t="shared" si="93"/>
        <v/>
      </c>
      <c r="AD90" s="24" t="str">
        <f t="shared" si="93"/>
        <v/>
      </c>
    </row>
    <row r="91" ht="16.5" spans="17:30">
      <c r="Q91" s="44" t="s">
        <v>138</v>
      </c>
      <c r="R91" s="44"/>
      <c r="S91" s="76" t="str">
        <f t="shared" ref="S91:AD91" si="94">IFERROR(SUM(S71:S87)+S90,"")</f>
        <v/>
      </c>
      <c r="T91" s="76" t="str">
        <f t="shared" si="94"/>
        <v/>
      </c>
      <c r="U91" s="76" t="str">
        <f t="shared" si="94"/>
        <v/>
      </c>
      <c r="V91" s="76" t="str">
        <f t="shared" si="94"/>
        <v/>
      </c>
      <c r="W91" s="76" t="str">
        <f t="shared" si="94"/>
        <v/>
      </c>
      <c r="X91" s="76" t="str">
        <f t="shared" si="94"/>
        <v/>
      </c>
      <c r="Y91" s="76" t="str">
        <f t="shared" si="94"/>
        <v/>
      </c>
      <c r="Z91" s="76" t="str">
        <f t="shared" si="94"/>
        <v/>
      </c>
      <c r="AA91" s="76" t="str">
        <f t="shared" si="94"/>
        <v/>
      </c>
      <c r="AB91" s="76" t="str">
        <f t="shared" si="94"/>
        <v/>
      </c>
      <c r="AC91" s="76" t="str">
        <f t="shared" si="94"/>
        <v/>
      </c>
      <c r="AD91" s="76" t="str">
        <f t="shared" si="94"/>
        <v/>
      </c>
    </row>
    <row r="92" ht="16.5" spans="17:30">
      <c r="Q92" s="69" t="s">
        <v>140</v>
      </c>
      <c r="R92" s="69"/>
      <c r="S92" s="58" t="str">
        <f t="shared" ref="S92:AD92" si="95">IFERROR(S69-S91,"")</f>
        <v/>
      </c>
      <c r="T92" s="58" t="str">
        <f t="shared" si="95"/>
        <v/>
      </c>
      <c r="U92" s="58" t="str">
        <f t="shared" si="95"/>
        <v/>
      </c>
      <c r="V92" s="58" t="str">
        <f t="shared" si="95"/>
        <v/>
      </c>
      <c r="W92" s="58" t="str">
        <f t="shared" si="95"/>
        <v/>
      </c>
      <c r="X92" s="58" t="str">
        <f t="shared" si="95"/>
        <v/>
      </c>
      <c r="Y92" s="58" t="str">
        <f t="shared" si="95"/>
        <v/>
      </c>
      <c r="Z92" s="58" t="str">
        <f t="shared" si="95"/>
        <v/>
      </c>
      <c r="AA92" s="58" t="str">
        <f t="shared" si="95"/>
        <v/>
      </c>
      <c r="AB92" s="58" t="str">
        <f t="shared" si="95"/>
        <v/>
      </c>
      <c r="AC92" s="58" t="str">
        <f t="shared" si="95"/>
        <v/>
      </c>
      <c r="AD92" s="58" t="str">
        <f t="shared" si="95"/>
        <v/>
      </c>
    </row>
    <row r="93" spans="17:30">
      <c r="Q93" s="1" t="s">
        <v>133</v>
      </c>
    </row>
  </sheetData>
  <sheetProtection formatCells="0" formatColumns="0" formatRows="0"/>
  <protectedRanges>
    <protectedRange sqref="E2:N35 Q3:Q12 Q18:Q27 S38:AB38 AX3:AX7 AZ3:AZ7" name="区域1"/>
  </protectedRanges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3"/>
  <sheetViews>
    <sheetView showGridLines="0" topLeftCell="S38" workbookViewId="0">
      <selection activeCell="AD58" sqref="AD58:AD60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9" width="10" style="1" customWidth="1"/>
    <col min="10" max="13" width="10" style="1" hidden="1" customWidth="1"/>
    <col min="14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X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8" t="s">
        <v>20</v>
      </c>
      <c r="F2" s="88" t="s">
        <v>22</v>
      </c>
      <c r="G2" s="88" t="s">
        <v>24</v>
      </c>
      <c r="H2" s="88" t="s">
        <v>25</v>
      </c>
      <c r="I2" s="88" t="s">
        <v>26</v>
      </c>
      <c r="J2" s="88" t="s">
        <v>27</v>
      </c>
      <c r="K2" s="88" t="s">
        <v>28</v>
      </c>
      <c r="L2" s="88" t="s">
        <v>29</v>
      </c>
      <c r="M2" s="88" t="s">
        <v>30</v>
      </c>
      <c r="N2" s="8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89" t="s">
        <v>48</v>
      </c>
      <c r="F3" s="89"/>
      <c r="G3" s="89"/>
      <c r="H3" s="89"/>
      <c r="I3" s="89"/>
      <c r="J3" s="89"/>
      <c r="K3" s="89"/>
      <c r="L3" s="89"/>
      <c r="M3" s="89"/>
      <c r="N3" s="89"/>
      <c r="Q3" s="90" t="s">
        <v>20</v>
      </c>
      <c r="R3" s="20" t="e">
        <f t="shared" ref="R3:W3" si="0">R18/$E$4</f>
        <v>#DIV/0!</v>
      </c>
      <c r="S3" s="20" t="e">
        <f t="shared" si="0"/>
        <v>#DIV/0!</v>
      </c>
      <c r="T3" s="20" t="e">
        <f t="shared" si="0"/>
        <v>#DIV/0!</v>
      </c>
      <c r="U3" s="20" t="e">
        <f t="shared" si="0"/>
        <v>#DIV/0!</v>
      </c>
      <c r="V3" s="20" t="e">
        <f t="shared" si="0"/>
        <v>#DIV/0!</v>
      </c>
      <c r="W3" s="20" t="e">
        <f t="shared" si="0"/>
        <v>#DIV/0!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0</v>
      </c>
      <c r="AK3" s="24" cm="1">
        <f t="array" ref="AK3">IF(AK2&lt;=$E$10,$E$4*SUMPRODUCT($E$7:$N$7,$E$8:$N$8,$E$9:$N$9),0)</f>
        <v>0</v>
      </c>
      <c r="AL3" s="24" cm="1">
        <f t="array" ref="AL3">IF(AL2&lt;=$E$10,$E$4*SUMPRODUCT($E$7:$N$7,$E$8:$N$8,$E$9:$N$9),0)</f>
        <v>0</v>
      </c>
      <c r="AM3" s="24" cm="1">
        <f t="array" ref="AM3">IF(AM2&lt;=$E$10,$E$4*SUMPRODUCT($E$7:$N$7,$E$8:$N$8,$E$9:$N$9),0)</f>
        <v>0</v>
      </c>
      <c r="AN3" s="24" cm="1">
        <f t="array" ref="AN3">IF(AN2&lt;=$E$10,$E$4*SUMPRODUCT($E$7:$N$7,$E$8:$N$8,$E$9:$N$9),0)</f>
        <v>0</v>
      </c>
      <c r="AO3" s="24" cm="1">
        <f t="array" ref="AO3">IF(AO2&lt;=$E$10,$E$4*SUMPRODUCT($E$7:$N$7,$E$8:$N$8,$E$9:$N$9),0)</f>
        <v>0</v>
      </c>
      <c r="AP3" s="24" cm="1">
        <f t="array" ref="AP3">IF(AP2&lt;=$E$10,$E$4*SUMPRODUCT($E$7:$N$7,$E$8:$N$8,$E$9:$N$9),0)</f>
        <v>0</v>
      </c>
      <c r="AQ3" s="24" cm="1">
        <f t="array" ref="AQ3">IF(AQ2&lt;=$E$10,$E$4*SUMPRODUCT($E$7:$N$7,$E$8:$N$8,$E$9:$N$9),0)</f>
        <v>0</v>
      </c>
      <c r="AR3" s="24" cm="1">
        <f t="array" ref="AR3">IF(AR2&lt;=$E$10,$E$4*SUMPRODUCT($E$7:$N$7,$E$8:$N$8,$E$9:$N$9),0)</f>
        <v>0</v>
      </c>
      <c r="AS3" s="24" cm="1">
        <f t="array" ref="AS3">IF(AS2&lt;=$E$10,$E$4*SUMPRODUCT($E$7:$N$7,$E$8:$N$8,$E$9:$N$9),0)</f>
        <v>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91" t="s">
        <v>50</v>
      </c>
      <c r="AY3" s="1" t="s">
        <v>51</v>
      </c>
      <c r="AZ3" s="92">
        <v>0.02</v>
      </c>
      <c r="BA3" s="2">
        <f t="shared" ref="BA3:BE3" si="1">IF($AX3="✔",$BF3+BA$2*$AZ3,$BF3)</f>
        <v>-0.1</v>
      </c>
      <c r="BB3" s="2">
        <f t="shared" si="1"/>
        <v>-0.08</v>
      </c>
      <c r="BC3" s="2">
        <f t="shared" si="1"/>
        <v>-0.06</v>
      </c>
      <c r="BD3" s="2">
        <f t="shared" si="1"/>
        <v>-0.04</v>
      </c>
      <c r="BE3" s="2">
        <f t="shared" si="1"/>
        <v>-0.02</v>
      </c>
      <c r="BF3" s="2">
        <f>$E$5</f>
        <v>0</v>
      </c>
      <c r="BG3" s="2">
        <f t="shared" ref="BG3:BK3" si="2">IF($AX3="✔",$BF3+BG$2*$AZ3,$BF3)</f>
        <v>0.02</v>
      </c>
      <c r="BH3" s="2">
        <f t="shared" si="2"/>
        <v>0.04</v>
      </c>
      <c r="BI3" s="2">
        <f t="shared" si="2"/>
        <v>0.06</v>
      </c>
      <c r="BJ3" s="2">
        <f t="shared" si="2"/>
        <v>0.08</v>
      </c>
      <c r="BK3" s="2">
        <f t="shared" si="2"/>
        <v>0.1</v>
      </c>
    </row>
    <row r="4" s="1" customFormat="1" spans="1:63">
      <c r="A4" s="15"/>
      <c r="B4" s="16" t="s">
        <v>52</v>
      </c>
      <c r="C4" s="17" t="s">
        <v>53</v>
      </c>
      <c r="D4" s="17"/>
      <c r="E4" s="93"/>
      <c r="F4" s="93"/>
      <c r="G4" s="93"/>
      <c r="H4" s="93"/>
      <c r="I4" s="93"/>
      <c r="J4" s="93"/>
      <c r="K4" s="93"/>
      <c r="L4" s="93"/>
      <c r="M4" s="93"/>
      <c r="N4" s="93"/>
      <c r="Q4" s="90" t="s">
        <v>22</v>
      </c>
      <c r="R4" s="20" t="e">
        <f t="shared" ref="R4:W4" si="3">R19/$E$4</f>
        <v>#DIV/0!</v>
      </c>
      <c r="S4" s="20" t="e">
        <f t="shared" si="3"/>
        <v>#DIV/0!</v>
      </c>
      <c r="T4" s="20" t="e">
        <f t="shared" si="3"/>
        <v>#DIV/0!</v>
      </c>
      <c r="U4" s="20" t="e">
        <f t="shared" si="3"/>
        <v>#DIV/0!</v>
      </c>
      <c r="V4" s="20" t="e">
        <f t="shared" si="3"/>
        <v>#DIV/0!</v>
      </c>
      <c r="W4" s="20" t="e">
        <f t="shared" si="3"/>
        <v>#DIV/0!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91"/>
      <c r="AY4" s="1" t="s">
        <v>55</v>
      </c>
      <c r="AZ4" s="92">
        <v>2</v>
      </c>
      <c r="BA4" s="30" t="str" cm="1">
        <f t="array" ref="BA4">IF($AX4="✔",_xlfn.TEXTJOIN(",",TRUE,IF($E$7:$N$7&lt;&gt;"",$E$2:$N$2&amp;":"&amp;$E$7:$N$7+BA$2*$AZ4,"")),$BF$4)</f>
        <v/>
      </c>
      <c r="BB4" s="30" t="str" cm="1">
        <f t="array" ref="BB4">IF($AX4="✔",_xlfn.TEXTJOIN(",",TRUE,IF($E$7:$N$7&lt;&gt;"",$E$2:$N$2&amp;":"&amp;$E$7:$N$7+BB$2*$AZ4,"")),$BF$4)</f>
        <v/>
      </c>
      <c r="BC4" s="30" t="str" cm="1">
        <f t="array" ref="BC4">IF($AX4="✔",_xlfn.TEXTJOIN(",",TRUE,IF($E$7:$N$7&lt;&gt;"",$E$2:$N$2&amp;":"&amp;$E$7:$N$7+BC$2*$AZ4,"")),$BF$4)</f>
        <v/>
      </c>
      <c r="BD4" s="30" t="str" cm="1">
        <f t="array" ref="BD4">IF($AX4="✔",_xlfn.TEXTJOIN(",",TRUE,IF($E$7:$N$7&lt;&gt;"",$E$2:$N$2&amp;":"&amp;$E$7:$N$7+BD$2*$AZ4,"")),$BF$4)</f>
        <v/>
      </c>
      <c r="BE4" s="30" t="str" cm="1">
        <f t="array" ref="BE4">IF($AX4="✔",_xlfn.TEXTJOIN(",",TRUE,IF($E$7:$N$7&lt;&gt;"",$E$2:$N$2&amp;":"&amp;$E$7:$N$7+BE$2*$AZ4,"")),$BF$4)</f>
        <v/>
      </c>
      <c r="BF4" s="31" t="str" cm="1">
        <f t="array" ref="BF4">_xlfn.TEXTJOIN(", ",TRUE,IF($E$7:$N$7&lt;&gt;"",$E$2:$N$2&amp;":"&amp;$E$7:$N$7,""))</f>
        <v/>
      </c>
      <c r="BG4" s="30" t="str" cm="1">
        <f t="array" ref="BG4">IF($AX4="✔",_xlfn.TEXTJOIN(",",TRUE,IF($E$7:$N$7&lt;&gt;"",$E$2:$N$2&amp;":"&amp;$E$7:$N$7+BG$2*$AZ4,"")),$BF$4)</f>
        <v/>
      </c>
      <c r="BH4" s="30" t="str" cm="1">
        <f t="array" ref="BH4">IF($AX4="✔",_xlfn.TEXTJOIN(",",TRUE,IF($E$7:$N$7&lt;&gt;"",$E$2:$N$2&amp;":"&amp;$E$7:$N$7+BH$2*$AZ4,"")),$BF$4)</f>
        <v/>
      </c>
      <c r="BI4" s="30" t="str" cm="1">
        <f t="array" ref="BI4">IF($AX4="✔",_xlfn.TEXTJOIN(",",TRUE,IF($E$7:$N$7&lt;&gt;"",$E$2:$N$2&amp;":"&amp;$E$7:$N$7+BI$2*$AZ4,"")),$BF$4)</f>
        <v/>
      </c>
      <c r="BJ4" s="30" t="str" cm="1">
        <f t="array" ref="BJ4">IF($AX4="✔",_xlfn.TEXTJOIN(",",TRUE,IF($E$7:$N$7&lt;&gt;"",$E$2:$N$2&amp;":"&amp;$E$7:$N$7+BJ$2*$AZ4,"")),$BF$4)</f>
        <v/>
      </c>
      <c r="BK4" s="30" t="str" cm="1">
        <f t="array" ref="BK4">IF($AX4="✔",_xlfn.TEXTJOIN(",",TRUE,IF($E$7:$N$7&lt;&gt;"",$E$2:$N$2&amp;":"&amp;$E$7:$N$7+BK$2*$AZ4,"")),$BF$4)</f>
        <v/>
      </c>
    </row>
    <row r="5" s="1" customFormat="1" ht="16.5" spans="1:63">
      <c r="A5" s="15"/>
      <c r="B5" s="16" t="s">
        <v>51</v>
      </c>
      <c r="C5" s="17" t="s">
        <v>56</v>
      </c>
      <c r="D5" s="17"/>
      <c r="E5" s="94"/>
      <c r="F5" s="94"/>
      <c r="G5" s="94"/>
      <c r="H5" s="94"/>
      <c r="I5" s="94"/>
      <c r="J5" s="94"/>
      <c r="K5" s="94"/>
      <c r="L5" s="94"/>
      <c r="M5" s="94"/>
      <c r="N5" s="94"/>
      <c r="Q5" s="90" t="s">
        <v>24</v>
      </c>
      <c r="R5" s="20" t="e">
        <f t="shared" ref="R5:W5" si="4">R20/$E$4</f>
        <v>#DIV/0!</v>
      </c>
      <c r="S5" s="20" t="e">
        <f t="shared" si="4"/>
        <v>#DIV/0!</v>
      </c>
      <c r="T5" s="20" t="e">
        <f t="shared" si="4"/>
        <v>#DIV/0!</v>
      </c>
      <c r="U5" s="20" t="e">
        <f t="shared" si="4"/>
        <v>#DIV/0!</v>
      </c>
      <c r="V5" s="20" t="e">
        <f t="shared" si="4"/>
        <v>#DIV/0!</v>
      </c>
      <c r="W5" s="20" t="e">
        <f t="shared" si="4"/>
        <v>#DIV/0!</v>
      </c>
      <c r="AE5" s="33"/>
      <c r="AF5" s="34"/>
      <c r="AG5" s="28"/>
      <c r="AH5" s="1" t="s">
        <v>57</v>
      </c>
      <c r="AI5" s="35"/>
      <c r="AJ5" s="29">
        <f t="shared" ref="AJ5:AU5" si="5">IF(AJ2&lt;=$E$12,$E$4*$E$13,0)</f>
        <v>0</v>
      </c>
      <c r="AK5" s="29">
        <f t="shared" si="5"/>
        <v>0</v>
      </c>
      <c r="AL5" s="29">
        <f t="shared" si="5"/>
        <v>0</v>
      </c>
      <c r="AM5" s="29">
        <f t="shared" si="5"/>
        <v>0</v>
      </c>
      <c r="AN5" s="29">
        <f t="shared" si="5"/>
        <v>0</v>
      </c>
      <c r="AO5" s="29">
        <f t="shared" si="5"/>
        <v>0</v>
      </c>
      <c r="AP5" s="29">
        <f t="shared" si="5"/>
        <v>0</v>
      </c>
      <c r="AQ5" s="29">
        <f t="shared" si="5"/>
        <v>0</v>
      </c>
      <c r="AR5" s="29">
        <f t="shared" si="5"/>
        <v>0</v>
      </c>
      <c r="AS5" s="29">
        <f t="shared" si="5"/>
        <v>0</v>
      </c>
      <c r="AT5" s="29">
        <f t="shared" si="5"/>
        <v>0</v>
      </c>
      <c r="AU5" s="29">
        <f t="shared" si="5"/>
        <v>0</v>
      </c>
      <c r="AX5" s="91"/>
      <c r="AY5" s="1" t="s">
        <v>58</v>
      </c>
      <c r="AZ5" s="92">
        <v>1</v>
      </c>
      <c r="BA5" s="30" t="str" cm="1">
        <f t="array" ref="BA5">IF($AX5="✔",_xlfn.TEXTJOIN(",",TRUE,IF($E$9:$N$9&lt;&gt;"",$E$2:$N$2&amp;":"&amp;$E$9:$N$9+BA$2*$AZ5,"")),$BF$5)</f>
        <v/>
      </c>
      <c r="BB5" s="30" t="str" cm="1">
        <f t="array" ref="BB5">IF($AX5="✔",_xlfn.TEXTJOIN(",",TRUE,IF($E$9:$N$9&lt;&gt;"",$E$2:$N$2&amp;":"&amp;$E$9:$N$9+BB$2*$AZ5,"")),$BF$5)</f>
        <v/>
      </c>
      <c r="BC5" s="30" t="str" cm="1">
        <f t="array" ref="BC5">IF($AX5="✔",_xlfn.TEXTJOIN(",",TRUE,IF($E$9:$N$9&lt;&gt;"",$E$2:$N$2&amp;":"&amp;$E$9:$N$9+BC$2*$AZ5,"")),$BF$5)</f>
        <v/>
      </c>
      <c r="BD5" s="30" t="str" cm="1">
        <f t="array" ref="BD5">IF($AX5="✔",_xlfn.TEXTJOIN(",",TRUE,IF($E$9:$N$9&lt;&gt;"",$E$2:$N$2&amp;":"&amp;$E$9:$N$9+BD$2*$AZ5,"")),$BF$5)</f>
        <v/>
      </c>
      <c r="BE5" s="30" t="str" cm="1">
        <f t="array" ref="BE5">IF($AX5="✔",_xlfn.TEXTJOIN(",",TRUE,IF($E$9:$N$9&lt;&gt;"",$E$2:$N$2&amp;":"&amp;$E$9:$N$9+BE$2*$AZ5,"")),$BF$5)</f>
        <v/>
      </c>
      <c r="BF5" s="31" t="str" cm="1">
        <f t="array" ref="BF5">_xlfn.TEXTJOIN(", ",TRUE,IF($E$9:$N$9&lt;&gt;"",$E$2:$N$2&amp;":"&amp;$E$9:$N$9,""))</f>
        <v/>
      </c>
      <c r="BG5" s="30" t="str" cm="1">
        <f t="array" ref="BG5">IF($AX5="✔",_xlfn.TEXTJOIN(",",TRUE,IF($E$9:$N$9&lt;&gt;"",$E$2:$N$2&amp;":"&amp;$E$9:$N$9+BG$2*$AZ5,"")),$BF$5)</f>
        <v/>
      </c>
      <c r="BH5" s="30" t="str" cm="1">
        <f t="array" ref="BH5">IF($AX5="✔",_xlfn.TEXTJOIN(",",TRUE,IF($E$9:$N$9&lt;&gt;"",$E$2:$N$2&amp;":"&amp;$E$9:$N$9+BH$2*$AZ5,"")),$BF$5)</f>
        <v/>
      </c>
      <c r="BI5" s="30" t="str" cm="1">
        <f t="array" ref="BI5">IF($AX5="✔",_xlfn.TEXTJOIN(",",TRUE,IF($E$9:$N$9&lt;&gt;"",$E$2:$N$2&amp;":"&amp;$E$9:$N$9+BI$2*$AZ5,"")),$BF$5)</f>
        <v/>
      </c>
      <c r="BJ5" s="30" t="str" cm="1">
        <f t="array" ref="BJ5">IF($AX5="✔",_xlfn.TEXTJOIN(",",TRUE,IF($E$9:$N$9&lt;&gt;"",$E$2:$N$2&amp;":"&amp;$E$9:$N$9+BJ$2*$AZ5,"")),$BF$5)</f>
        <v/>
      </c>
      <c r="BK5" s="30" t="str" cm="1">
        <f t="array" ref="BK5">IF($AX5="✔",_xlfn.TEXTJOIN(",",TRUE,IF($E$9:$N$9&lt;&gt;"",$E$2:$N$2&amp;":"&amp;$E$9:$N$9+BK$2*$AZ5,"")),$BF$5)</f>
        <v/>
      </c>
    </row>
    <row r="6" s="1" customFormat="1" spans="1:63">
      <c r="A6" s="15"/>
      <c r="B6" s="16" t="s">
        <v>59</v>
      </c>
      <c r="C6" s="17" t="s">
        <v>60</v>
      </c>
      <c r="D6" s="17"/>
      <c r="E6" s="95"/>
      <c r="F6" s="95"/>
      <c r="G6" s="95"/>
      <c r="H6" s="95"/>
      <c r="I6" s="95"/>
      <c r="J6" s="95"/>
      <c r="K6" s="95"/>
      <c r="L6" s="95"/>
      <c r="M6" s="95"/>
      <c r="N6" s="95"/>
      <c r="Q6" s="90" t="s">
        <v>25</v>
      </c>
      <c r="R6" s="20" t="e">
        <f t="shared" ref="R6:W6" si="6">R21/$E$4</f>
        <v>#DIV/0!</v>
      </c>
      <c r="S6" s="20" t="e">
        <f t="shared" si="6"/>
        <v>#DIV/0!</v>
      </c>
      <c r="T6" s="20" t="e">
        <f t="shared" si="6"/>
        <v>#DIV/0!</v>
      </c>
      <c r="U6" s="20" t="e">
        <f t="shared" si="6"/>
        <v>#DIV/0!</v>
      </c>
      <c r="V6" s="20" t="e">
        <f t="shared" si="6"/>
        <v>#DIV/0!</v>
      </c>
      <c r="W6" s="20" t="e">
        <f t="shared" si="6"/>
        <v>#DIV/0!</v>
      </c>
      <c r="AE6" s="27"/>
      <c r="AF6" s="37"/>
      <c r="AG6" s="28"/>
      <c r="AH6" s="1" t="s">
        <v>61</v>
      </c>
      <c r="AI6" s="35"/>
      <c r="AJ6" s="29">
        <f t="shared" ref="AJ6:AU6" si="7">$E$14*$E$4</f>
        <v>0</v>
      </c>
      <c r="AK6" s="29">
        <f t="shared" si="7"/>
        <v>0</v>
      </c>
      <c r="AL6" s="29">
        <f t="shared" si="7"/>
        <v>0</v>
      </c>
      <c r="AM6" s="29">
        <f t="shared" si="7"/>
        <v>0</v>
      </c>
      <c r="AN6" s="29">
        <f t="shared" si="7"/>
        <v>0</v>
      </c>
      <c r="AO6" s="29">
        <f t="shared" si="7"/>
        <v>0</v>
      </c>
      <c r="AP6" s="29">
        <f t="shared" si="7"/>
        <v>0</v>
      </c>
      <c r="AQ6" s="29">
        <f t="shared" si="7"/>
        <v>0</v>
      </c>
      <c r="AR6" s="29">
        <f t="shared" si="7"/>
        <v>0</v>
      </c>
      <c r="AS6" s="29">
        <f t="shared" si="7"/>
        <v>0</v>
      </c>
      <c r="AT6" s="29">
        <f t="shared" si="7"/>
        <v>0</v>
      </c>
      <c r="AU6" s="29">
        <f t="shared" si="7"/>
        <v>0</v>
      </c>
      <c r="AX6" s="91" t="s">
        <v>50</v>
      </c>
      <c r="AY6" s="38" t="s">
        <v>62</v>
      </c>
      <c r="AZ6" s="96">
        <v>300</v>
      </c>
      <c r="BA6" s="2">
        <f t="shared" ref="BA6:BE6" si="8">IF($AX6="✔",$BF6+BA$2*$AZ6,$BF6)</f>
        <v>-1500</v>
      </c>
      <c r="BB6" s="2">
        <f t="shared" si="8"/>
        <v>-1200</v>
      </c>
      <c r="BC6" s="2">
        <f t="shared" si="8"/>
        <v>-900</v>
      </c>
      <c r="BD6" s="2">
        <f t="shared" si="8"/>
        <v>-600</v>
      </c>
      <c r="BE6" s="2">
        <f t="shared" si="8"/>
        <v>-300</v>
      </c>
      <c r="BF6" s="40">
        <f>$E$13</f>
        <v>0</v>
      </c>
      <c r="BG6" s="2">
        <f t="shared" ref="BG6:BK6" si="9">IF($AX6="✔",$BF6+BG$2*$AZ6,$BF6)</f>
        <v>300</v>
      </c>
      <c r="BH6" s="2">
        <f t="shared" si="9"/>
        <v>600</v>
      </c>
      <c r="BI6" s="2">
        <f t="shared" si="9"/>
        <v>900</v>
      </c>
      <c r="BJ6" s="2">
        <f t="shared" si="9"/>
        <v>1200</v>
      </c>
      <c r="BK6" s="2">
        <f t="shared" si="9"/>
        <v>1500</v>
      </c>
    </row>
    <row r="7" s="1" customFormat="1" spans="1:63">
      <c r="A7" s="15"/>
      <c r="B7" s="16" t="s">
        <v>55</v>
      </c>
      <c r="C7" s="17" t="s">
        <v>63</v>
      </c>
      <c r="D7" s="17"/>
      <c r="E7" s="95"/>
      <c r="F7" s="95"/>
      <c r="G7" s="95"/>
      <c r="H7" s="95"/>
      <c r="I7" s="95"/>
      <c r="J7" s="95"/>
      <c r="K7" s="95"/>
      <c r="L7" s="95"/>
      <c r="M7" s="95"/>
      <c r="N7" s="95"/>
      <c r="Q7" s="90" t="s">
        <v>26</v>
      </c>
      <c r="R7" s="20" t="e">
        <f t="shared" ref="R7:W7" si="10">R22/$E$4</f>
        <v>#DIV/0!</v>
      </c>
      <c r="S7" s="20" t="e">
        <f t="shared" si="10"/>
        <v>#DIV/0!</v>
      </c>
      <c r="T7" s="20" t="e">
        <f t="shared" si="10"/>
        <v>#DIV/0!</v>
      </c>
      <c r="U7" s="20" t="e">
        <f t="shared" si="10"/>
        <v>#DIV/0!</v>
      </c>
      <c r="V7" s="20" t="e">
        <f t="shared" si="10"/>
        <v>#DIV/0!</v>
      </c>
      <c r="W7" s="20" t="e">
        <f t="shared" si="10"/>
        <v>#DIV/0!</v>
      </c>
      <c r="AE7" s="27"/>
      <c r="AF7" s="37"/>
      <c r="AG7" s="28"/>
      <c r="AH7" s="1" t="s">
        <v>64</v>
      </c>
      <c r="AI7" s="35"/>
      <c r="AJ7" s="29">
        <f t="shared" ref="AJ7:AU7" si="11">$E$4*$E$15</f>
        <v>0</v>
      </c>
      <c r="AK7" s="29">
        <f t="shared" si="11"/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91"/>
      <c r="AY7" s="1" t="s">
        <v>65</v>
      </c>
      <c r="AZ7" s="9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95"/>
      <c r="F8" s="95"/>
      <c r="G8" s="95"/>
      <c r="H8" s="95"/>
      <c r="I8" s="95"/>
      <c r="J8" s="95"/>
      <c r="K8" s="95"/>
      <c r="L8" s="95"/>
      <c r="M8" s="95"/>
      <c r="N8" s="95"/>
      <c r="Q8" s="90" t="s">
        <v>27</v>
      </c>
      <c r="R8" s="20" t="e">
        <f t="shared" ref="R8:W8" si="14">R23/$E$4</f>
        <v>#DIV/0!</v>
      </c>
      <c r="S8" s="20" t="e">
        <f t="shared" si="14"/>
        <v>#DIV/0!</v>
      </c>
      <c r="T8" s="20" t="e">
        <f t="shared" si="14"/>
        <v>#DIV/0!</v>
      </c>
      <c r="U8" s="20" t="e">
        <f t="shared" si="14"/>
        <v>#DIV/0!</v>
      </c>
      <c r="V8" s="20" t="e">
        <f t="shared" si="14"/>
        <v>#DIV/0!</v>
      </c>
      <c r="W8" s="20" t="e">
        <f t="shared" si="14"/>
        <v>#DIV/0!</v>
      </c>
      <c r="AE8" s="27"/>
      <c r="AF8" s="37"/>
      <c r="AG8" s="28"/>
      <c r="AH8" s="1" t="s">
        <v>68</v>
      </c>
      <c r="AI8" s="35"/>
      <c r="AJ8" s="29">
        <f t="shared" ref="AJ8:AU8" si="15">$E$4*$E$16</f>
        <v>0</v>
      </c>
      <c r="AK8" s="29">
        <f t="shared" si="15"/>
        <v>0</v>
      </c>
      <c r="AL8" s="29">
        <f t="shared" si="15"/>
        <v>0</v>
      </c>
      <c r="AM8" s="29">
        <f t="shared" si="15"/>
        <v>0</v>
      </c>
      <c r="AN8" s="29">
        <f t="shared" si="15"/>
        <v>0</v>
      </c>
      <c r="AO8" s="29">
        <f t="shared" si="15"/>
        <v>0</v>
      </c>
      <c r="AP8" s="29">
        <f t="shared" si="15"/>
        <v>0</v>
      </c>
      <c r="AQ8" s="29">
        <f t="shared" si="15"/>
        <v>0</v>
      </c>
      <c r="AR8" s="29">
        <f t="shared" si="15"/>
        <v>0</v>
      </c>
      <c r="AS8" s="29">
        <f t="shared" si="15"/>
        <v>0</v>
      </c>
      <c r="AT8" s="29">
        <f t="shared" si="15"/>
        <v>0</v>
      </c>
      <c r="AU8" s="29">
        <f t="shared" si="15"/>
        <v>0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95"/>
      <c r="F9" s="95"/>
      <c r="G9" s="95"/>
      <c r="H9" s="95"/>
      <c r="I9" s="95"/>
      <c r="J9" s="95"/>
      <c r="K9" s="95"/>
      <c r="L9" s="95"/>
      <c r="M9" s="95"/>
      <c r="N9" s="95"/>
      <c r="Q9" s="90" t="s">
        <v>28</v>
      </c>
      <c r="R9" s="20" t="e">
        <f t="shared" ref="R9:W9" si="16">R24/$E$4</f>
        <v>#DIV/0!</v>
      </c>
      <c r="S9" s="20" t="e">
        <f t="shared" si="16"/>
        <v>#DIV/0!</v>
      </c>
      <c r="T9" s="20" t="e">
        <f t="shared" si="16"/>
        <v>#DIV/0!</v>
      </c>
      <c r="U9" s="20" t="e">
        <f t="shared" si="16"/>
        <v>#DIV/0!</v>
      </c>
      <c r="V9" s="20" t="e">
        <f t="shared" si="16"/>
        <v>#DIV/0!</v>
      </c>
      <c r="W9" s="20" t="e">
        <f t="shared" si="16"/>
        <v>#DIV/0!</v>
      </c>
      <c r="AE9" s="27"/>
      <c r="AF9" s="37"/>
      <c r="AG9" s="28"/>
      <c r="AH9" s="1" t="s">
        <v>71</v>
      </c>
      <c r="AI9" s="35"/>
      <c r="AJ9" s="29">
        <f t="shared" ref="AJ9:AU9" si="17">$E$4*$E$17</f>
        <v>0</v>
      </c>
      <c r="AK9" s="29">
        <f t="shared" si="17"/>
        <v>0</v>
      </c>
      <c r="AL9" s="29">
        <f t="shared" si="17"/>
        <v>0</v>
      </c>
      <c r="AM9" s="29">
        <f t="shared" si="17"/>
        <v>0</v>
      </c>
      <c r="AN9" s="29">
        <f t="shared" si="17"/>
        <v>0</v>
      </c>
      <c r="AO9" s="29">
        <f t="shared" si="17"/>
        <v>0</v>
      </c>
      <c r="AP9" s="29">
        <f t="shared" si="17"/>
        <v>0</v>
      </c>
      <c r="AQ9" s="29">
        <f t="shared" si="17"/>
        <v>0</v>
      </c>
      <c r="AR9" s="29">
        <f t="shared" si="17"/>
        <v>0</v>
      </c>
      <c r="AS9" s="29">
        <f t="shared" si="17"/>
        <v>0</v>
      </c>
      <c r="AT9" s="29">
        <f t="shared" si="17"/>
        <v>0</v>
      </c>
      <c r="AU9" s="29">
        <f t="shared" si="17"/>
        <v>0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0</v>
      </c>
      <c r="BB9" s="29" cm="1">
        <f t="array" ref="BB9">_xlfn.LET(_xlpm.p,IF($AX$4="✔",$AZ$4,0),_xlpm.n,IF($AX$5="✔",$AZ$5,0),SUMPRODUCT($E$7:$N$7+BB$2*_xlpm.p,$E$8:$N$8,$E$9:$N$9+BB$2*_xlpm.n))</f>
        <v>0</v>
      </c>
      <c r="BC9" s="29" cm="1">
        <f t="array" ref="BC9">_xlfn.LET(_xlpm.p,IF($AX$4="✔",$AZ$4,0),_xlpm.n,IF($AX$5="✔",$AZ$5,0),SUMPRODUCT($E$7:$N$7+BC$2*_xlpm.p,$E$8:$N$8,$E$9:$N$9+BC$2*_xlpm.n))</f>
        <v>0</v>
      </c>
      <c r="BD9" s="29" cm="1">
        <f t="array" ref="BD9">_xlfn.LET(_xlpm.p,IF($AX$4="✔",$AZ$4,0),_xlpm.n,IF($AX$5="✔",$AZ$5,0),SUMPRODUCT($E$7:$N$7+BD$2*_xlpm.p,$E$8:$N$8,$E$9:$N$9+BD$2*_xlpm.n))</f>
        <v>0</v>
      </c>
      <c r="BE9" s="29" cm="1">
        <f t="array" ref="BE9">_xlfn.LET(_xlpm.p,IF($AX$4="✔",$AZ$4,0),_xlpm.n,IF($AX$5="✔",$AZ$5,0),SUMPRODUCT($E$7:$N$7+BE$2*_xlpm.p,$E$8:$N$8,$E$9:$N$9+BE$2*_xlpm.n))</f>
        <v>0</v>
      </c>
      <c r="BF9" s="29" cm="1">
        <f t="array" ref="BF9">(SUMPRODUCT($E$7:$N$7,$E$8:$N$8,$E$9:$N$9))</f>
        <v>0</v>
      </c>
      <c r="BG9" s="29" cm="1">
        <f t="array" ref="BG9">_xlfn.LET(_xlpm.p,IF($AX$4="✔",$AZ$4,0),_xlpm.n,IF($AX$5="✔",$AZ$5,0),SUMPRODUCT($E$7:$N$7+BG$2*_xlpm.p,$E$8:$N$8,$E$9:$N$9+BG$2*_xlpm.n))</f>
        <v>0</v>
      </c>
      <c r="BH9" s="29" cm="1">
        <f t="array" ref="BH9">_xlfn.LET(_xlpm.p,IF($AX$4="✔",$AZ$4,0),_xlpm.n,IF($AX$5="✔",$AZ$5,0),SUMPRODUCT($E$7:$N$7+BH$2*_xlpm.p,$E$8:$N$8,$E$9:$N$9+BH$2*_xlpm.n))</f>
        <v>0</v>
      </c>
      <c r="BI9" s="29" cm="1">
        <f t="array" ref="BI9">_xlfn.LET(_xlpm.p,IF($AX$4="✔",$AZ$4,0),_xlpm.n,IF($AX$5="✔",$AZ$5,0),SUMPRODUCT($E$7:$N$7+BI$2*_xlpm.p,$E$8:$N$8,$E$9:$N$9+BI$2*_xlpm.n))</f>
        <v>0</v>
      </c>
      <c r="BJ9" s="29" cm="1">
        <f t="array" ref="BJ9">_xlfn.LET(_xlpm.p,IF($AX$4="✔",$AZ$4,0),_xlpm.n,IF($AX$5="✔",$AZ$5,0),SUMPRODUCT($E$7:$N$7+BJ$2*_xlpm.p,$E$8:$N$8,$E$9:$N$9+BJ$2*_xlpm.n))</f>
        <v>0</v>
      </c>
      <c r="BK9" s="29" cm="1">
        <f t="array" ref="BK9">_xlfn.LET(_xlpm.p,IF($AX$4="✔",$AZ$4,0),_xlpm.n,IF($AX$5="✔",$AZ$5,0),SUMPRODUCT($E$7:$N$7+BK$2*_xlpm.p,$E$8:$N$8,$E$9:$N$9+BK$2*_xlpm.n))</f>
        <v>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95"/>
      <c r="F10" s="95"/>
      <c r="G10" s="95"/>
      <c r="H10" s="95"/>
      <c r="I10" s="95"/>
      <c r="J10" s="95"/>
      <c r="K10" s="95"/>
      <c r="L10" s="95"/>
      <c r="M10" s="95"/>
      <c r="N10" s="95"/>
      <c r="Q10" s="90" t="s">
        <v>29</v>
      </c>
      <c r="R10" s="20" t="e">
        <f t="shared" ref="R10:W10" si="18">R25/$E$4</f>
        <v>#DIV/0!</v>
      </c>
      <c r="S10" s="20" t="e">
        <f t="shared" si="18"/>
        <v>#DIV/0!</v>
      </c>
      <c r="T10" s="20" t="e">
        <f t="shared" si="18"/>
        <v>#DIV/0!</v>
      </c>
      <c r="U10" s="20" t="e">
        <f t="shared" si="18"/>
        <v>#DIV/0!</v>
      </c>
      <c r="V10" s="20" t="e">
        <f t="shared" si="18"/>
        <v>#DIV/0!</v>
      </c>
      <c r="W10" s="20" t="e">
        <f t="shared" si="18"/>
        <v>#DIV/0!</v>
      </c>
      <c r="AE10" s="27"/>
      <c r="AF10" s="37"/>
      <c r="AG10" s="28"/>
      <c r="AH10" s="1" t="s">
        <v>74</v>
      </c>
      <c r="AI10" s="35"/>
      <c r="AJ10" s="29">
        <f t="shared" ref="AJ10:AU10" si="19">$E$4*$E$18</f>
        <v>0</v>
      </c>
      <c r="AK10" s="29">
        <f t="shared" si="19"/>
        <v>0</v>
      </c>
      <c r="AL10" s="29">
        <f t="shared" si="19"/>
        <v>0</v>
      </c>
      <c r="AM10" s="29">
        <f t="shared" si="19"/>
        <v>0</v>
      </c>
      <c r="AN10" s="29">
        <f t="shared" si="19"/>
        <v>0</v>
      </c>
      <c r="AO10" s="29">
        <f t="shared" si="19"/>
        <v>0</v>
      </c>
      <c r="AP10" s="29">
        <f t="shared" si="19"/>
        <v>0</v>
      </c>
      <c r="AQ10" s="29">
        <f t="shared" si="19"/>
        <v>0</v>
      </c>
      <c r="AR10" s="29">
        <f t="shared" si="19"/>
        <v>0</v>
      </c>
      <c r="AS10" s="29">
        <f t="shared" si="19"/>
        <v>0</v>
      </c>
      <c r="AT10" s="29">
        <f t="shared" si="19"/>
        <v>0</v>
      </c>
      <c r="AU10" s="29">
        <f t="shared" si="19"/>
        <v>0</v>
      </c>
      <c r="AX10" s="44" t="s">
        <v>75</v>
      </c>
      <c r="AY10" s="44"/>
      <c r="AZ10" s="44"/>
      <c r="BA10" s="45">
        <f t="shared" ref="BA10:BK10" si="20">BA9</f>
        <v>0</v>
      </c>
      <c r="BB10" s="45">
        <f t="shared" si="20"/>
        <v>0</v>
      </c>
      <c r="BC10" s="45">
        <f t="shared" si="20"/>
        <v>0</v>
      </c>
      <c r="BD10" s="45">
        <f t="shared" si="20"/>
        <v>0</v>
      </c>
      <c r="BE10" s="45">
        <f t="shared" si="20"/>
        <v>0</v>
      </c>
      <c r="BF10" s="45">
        <f t="shared" si="20"/>
        <v>0</v>
      </c>
      <c r="BG10" s="45">
        <f t="shared" si="20"/>
        <v>0</v>
      </c>
      <c r="BH10" s="45">
        <f t="shared" si="20"/>
        <v>0</v>
      </c>
      <c r="BI10" s="45">
        <f t="shared" si="20"/>
        <v>0</v>
      </c>
      <c r="BJ10" s="45">
        <f t="shared" si="20"/>
        <v>0</v>
      </c>
      <c r="BK10" s="45">
        <f t="shared" si="20"/>
        <v>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94">
        <v>0</v>
      </c>
      <c r="F11" s="94"/>
      <c r="G11" s="94"/>
      <c r="H11" s="94"/>
      <c r="I11" s="94"/>
      <c r="J11" s="94"/>
      <c r="K11" s="94"/>
      <c r="L11" s="94"/>
      <c r="M11" s="94"/>
      <c r="N11" s="94"/>
      <c r="Q11" s="90" t="s">
        <v>30</v>
      </c>
      <c r="R11" s="20" t="e">
        <f t="shared" ref="R11:W11" si="21">R26/$E$4</f>
        <v>#DIV/0!</v>
      </c>
      <c r="S11" s="20" t="e">
        <f t="shared" si="21"/>
        <v>#DIV/0!</v>
      </c>
      <c r="T11" s="20" t="e">
        <f t="shared" si="21"/>
        <v>#DIV/0!</v>
      </c>
      <c r="U11" s="20" t="e">
        <f t="shared" si="21"/>
        <v>#DIV/0!</v>
      </c>
      <c r="V11" s="20" t="e">
        <f t="shared" si="21"/>
        <v>#DIV/0!</v>
      </c>
      <c r="W11" s="20" t="e">
        <f t="shared" si="21"/>
        <v>#DIV/0!</v>
      </c>
      <c r="AE11" s="27"/>
      <c r="AF11" s="37"/>
      <c r="AG11" s="28"/>
      <c r="AH11" s="1" t="s">
        <v>78</v>
      </c>
      <c r="AI11" s="35"/>
      <c r="AJ11" s="29">
        <f t="shared" ref="AJ11:AU11" si="22">$E$4*$E$19</f>
        <v>0</v>
      </c>
      <c r="AK11" s="29">
        <f t="shared" si="22"/>
        <v>0</v>
      </c>
      <c r="AL11" s="29">
        <f t="shared" si="22"/>
        <v>0</v>
      </c>
      <c r="AM11" s="29">
        <f t="shared" si="22"/>
        <v>0</v>
      </c>
      <c r="AN11" s="29">
        <f t="shared" si="22"/>
        <v>0</v>
      </c>
      <c r="AO11" s="29">
        <f t="shared" si="22"/>
        <v>0</v>
      </c>
      <c r="AP11" s="29">
        <f t="shared" si="22"/>
        <v>0</v>
      </c>
      <c r="AQ11" s="29">
        <f t="shared" si="22"/>
        <v>0</v>
      </c>
      <c r="AR11" s="29">
        <f t="shared" si="22"/>
        <v>0</v>
      </c>
      <c r="AS11" s="29">
        <f t="shared" si="22"/>
        <v>0</v>
      </c>
      <c r="AT11" s="29">
        <f t="shared" si="22"/>
        <v>0</v>
      </c>
      <c r="AU11" s="29">
        <f t="shared" si="22"/>
        <v>0</v>
      </c>
      <c r="AX11" s="28" t="s">
        <v>14</v>
      </c>
      <c r="AY11" s="28"/>
      <c r="AZ11" s="35" t="s">
        <v>79</v>
      </c>
      <c r="BA11" s="29" t="e">
        <f t="shared" ref="BA11:BE11" si="23">IF($E$3="纯租赁",BA$6*12/$E$10,($E$11/$E$28+BA$6)*12/$E$10)</f>
        <v>#DIV/0!</v>
      </c>
      <c r="BB11" s="29" t="e">
        <f t="shared" si="23"/>
        <v>#DIV/0!</v>
      </c>
      <c r="BC11" s="29" t="e">
        <f t="shared" si="23"/>
        <v>#DIV/0!</v>
      </c>
      <c r="BD11" s="29" t="e">
        <f t="shared" si="23"/>
        <v>#DIV/0!</v>
      </c>
      <c r="BE11" s="29" t="e">
        <f t="shared" si="23"/>
        <v>#DIV/0!</v>
      </c>
      <c r="BF11" s="29" t="e">
        <f>IF($E$3="纯租赁",$E$13*12/$E$10,($E$11/$E$28+$E$13)*12/$E$10)</f>
        <v>#DIV/0!</v>
      </c>
      <c r="BG11" s="29" t="e">
        <f t="shared" ref="BG11:BK11" si="24">IF($E$3="纯租赁",BG$6*12/$E$10,($E$11/$E$28+BG$6)*12/$E$10)</f>
        <v>#DIV/0!</v>
      </c>
      <c r="BH11" s="29" t="e">
        <f t="shared" si="24"/>
        <v>#DIV/0!</v>
      </c>
      <c r="BI11" s="29" t="e">
        <f t="shared" si="24"/>
        <v>#DIV/0!</v>
      </c>
      <c r="BJ11" s="29" t="e">
        <f t="shared" si="24"/>
        <v>#DIV/0!</v>
      </c>
      <c r="BK11" s="29" t="e">
        <f t="shared" si="24"/>
        <v>#DIV/0!</v>
      </c>
    </row>
    <row r="12" spans="1:63">
      <c r="A12" s="15"/>
      <c r="B12" s="16" t="s">
        <v>80</v>
      </c>
      <c r="C12" s="17" t="s">
        <v>81</v>
      </c>
      <c r="D12" s="17"/>
      <c r="E12" s="95"/>
      <c r="F12" s="97"/>
      <c r="G12" s="97"/>
      <c r="H12" s="97"/>
      <c r="I12" s="97"/>
      <c r="J12" s="97"/>
      <c r="K12" s="97"/>
      <c r="L12" s="97"/>
      <c r="M12" s="97"/>
      <c r="N12" s="97"/>
      <c r="Q12" s="90" t="s">
        <v>31</v>
      </c>
      <c r="R12" s="20" t="e">
        <f t="shared" ref="R12:W12" si="25">R27/$E$4</f>
        <v>#DIV/0!</v>
      </c>
      <c r="S12" s="20" t="e">
        <f t="shared" si="25"/>
        <v>#DIV/0!</v>
      </c>
      <c r="T12" s="20" t="e">
        <f t="shared" si="25"/>
        <v>#DIV/0!</v>
      </c>
      <c r="U12" s="20" t="e">
        <f t="shared" si="25"/>
        <v>#DIV/0!</v>
      </c>
      <c r="V12" s="20" t="e">
        <f t="shared" si="25"/>
        <v>#DIV/0!</v>
      </c>
      <c r="W12" s="20" t="e">
        <f t="shared" si="25"/>
        <v>#DIV/0!</v>
      </c>
      <c r="AE12" s="27"/>
      <c r="AF12" s="37"/>
      <c r="AG12" s="28"/>
      <c r="AH12" s="1" t="s">
        <v>82</v>
      </c>
      <c r="AI12" s="35"/>
      <c r="AJ12" s="29">
        <f t="shared" ref="AJ12:AU12" si="26">$E$4*$E$20</f>
        <v>0</v>
      </c>
      <c r="AK12" s="29">
        <f t="shared" si="26"/>
        <v>0</v>
      </c>
      <c r="AL12" s="29">
        <f t="shared" si="26"/>
        <v>0</v>
      </c>
      <c r="AM12" s="29">
        <f t="shared" si="26"/>
        <v>0</v>
      </c>
      <c r="AN12" s="29">
        <f t="shared" si="26"/>
        <v>0</v>
      </c>
      <c r="AO12" s="29">
        <f t="shared" si="26"/>
        <v>0</v>
      </c>
      <c r="AP12" s="29">
        <f t="shared" si="26"/>
        <v>0</v>
      </c>
      <c r="AQ12" s="29">
        <f t="shared" si="26"/>
        <v>0</v>
      </c>
      <c r="AR12" s="29">
        <f t="shared" si="26"/>
        <v>0</v>
      </c>
      <c r="AS12" s="29">
        <f t="shared" si="26"/>
        <v>0</v>
      </c>
      <c r="AT12" s="29">
        <f t="shared" si="26"/>
        <v>0</v>
      </c>
      <c r="AU12" s="29">
        <f t="shared" si="26"/>
        <v>0</v>
      </c>
      <c r="AX12" s="28"/>
      <c r="AY12" s="28"/>
      <c r="AZ12" s="35" t="s">
        <v>61</v>
      </c>
      <c r="BA12" s="29" t="e">
        <f t="shared" ref="BA12:BK12" si="27">$E$14*12/$E$10</f>
        <v>#DIV/0!</v>
      </c>
      <c r="BB12" s="29" t="e">
        <f t="shared" si="27"/>
        <v>#DIV/0!</v>
      </c>
      <c r="BC12" s="29" t="e">
        <f t="shared" si="27"/>
        <v>#DIV/0!</v>
      </c>
      <c r="BD12" s="29" t="e">
        <f t="shared" si="27"/>
        <v>#DIV/0!</v>
      </c>
      <c r="BE12" s="29" t="e">
        <f t="shared" si="27"/>
        <v>#DIV/0!</v>
      </c>
      <c r="BF12" s="29" t="e">
        <f t="shared" si="27"/>
        <v>#DIV/0!</v>
      </c>
      <c r="BG12" s="29" t="e">
        <f t="shared" si="27"/>
        <v>#DIV/0!</v>
      </c>
      <c r="BH12" s="29" t="e">
        <f t="shared" si="27"/>
        <v>#DIV/0!</v>
      </c>
      <c r="BI12" s="29" t="e">
        <f t="shared" si="27"/>
        <v>#DIV/0!</v>
      </c>
      <c r="BJ12" s="29" t="e">
        <f t="shared" si="27"/>
        <v>#DIV/0!</v>
      </c>
      <c r="BK12" s="29" t="e">
        <f t="shared" si="27"/>
        <v>#DIV/0!</v>
      </c>
    </row>
    <row r="13" spans="1:63">
      <c r="A13" s="15"/>
      <c r="B13" s="46" t="s">
        <v>62</v>
      </c>
      <c r="C13" s="17" t="s">
        <v>83</v>
      </c>
      <c r="D13" s="17"/>
      <c r="E13" s="94"/>
      <c r="F13" s="94"/>
      <c r="G13" s="94"/>
      <c r="H13" s="94"/>
      <c r="I13" s="94"/>
      <c r="J13" s="94"/>
      <c r="K13" s="94"/>
      <c r="L13" s="94"/>
      <c r="M13" s="94"/>
      <c r="N13" s="94"/>
      <c r="Q13" s="48" t="s">
        <v>84</v>
      </c>
      <c r="R13" s="49" t="e">
        <f t="shared" ref="R13:V13" si="28">SUM(R3:R12)</f>
        <v>#DIV/0!</v>
      </c>
      <c r="S13" s="49" t="e">
        <f t="shared" si="28"/>
        <v>#DIV/0!</v>
      </c>
      <c r="T13" s="49" t="e">
        <f t="shared" si="28"/>
        <v>#DIV/0!</v>
      </c>
      <c r="U13" s="49" t="e">
        <f t="shared" si="28"/>
        <v>#DIV/0!</v>
      </c>
      <c r="V13" s="49" t="e">
        <f t="shared" si="28"/>
        <v>#DIV/0!</v>
      </c>
      <c r="W13" s="49" t="e">
        <f>R13-S13-T13-U13-V13</f>
        <v>#DIV/0!</v>
      </c>
      <c r="AE13" s="27"/>
      <c r="AF13" s="37"/>
      <c r="AG13" s="22"/>
      <c r="AH13" s="50" t="s">
        <v>85</v>
      </c>
      <c r="AI13" s="23"/>
      <c r="AJ13" s="24">
        <f t="shared" ref="AJ13:AU13" si="29">$E$4*$E$21</f>
        <v>0</v>
      </c>
      <c r="AK13" s="24">
        <f t="shared" si="29"/>
        <v>0</v>
      </c>
      <c r="AL13" s="24">
        <f t="shared" si="29"/>
        <v>0</v>
      </c>
      <c r="AM13" s="24">
        <f t="shared" si="29"/>
        <v>0</v>
      </c>
      <c r="AN13" s="24">
        <f t="shared" si="29"/>
        <v>0</v>
      </c>
      <c r="AO13" s="24">
        <f t="shared" si="29"/>
        <v>0</v>
      </c>
      <c r="AP13" s="24">
        <f t="shared" si="29"/>
        <v>0</v>
      </c>
      <c r="AQ13" s="24">
        <f t="shared" si="29"/>
        <v>0</v>
      </c>
      <c r="AR13" s="24">
        <f t="shared" si="29"/>
        <v>0</v>
      </c>
      <c r="AS13" s="24">
        <f t="shared" si="29"/>
        <v>0</v>
      </c>
      <c r="AT13" s="24">
        <f t="shared" si="29"/>
        <v>0</v>
      </c>
      <c r="AU13" s="24">
        <f t="shared" si="29"/>
        <v>0</v>
      </c>
      <c r="AX13" s="28"/>
      <c r="AY13" s="28"/>
      <c r="AZ13" s="35" t="s">
        <v>64</v>
      </c>
      <c r="BA13" s="29" t="e">
        <f t="shared" ref="BA13:BK13" si="30">$E$15*12/$E$10</f>
        <v>#DIV/0!</v>
      </c>
      <c r="BB13" s="29" t="e">
        <f t="shared" si="30"/>
        <v>#DIV/0!</v>
      </c>
      <c r="BC13" s="29" t="e">
        <f t="shared" si="30"/>
        <v>#DIV/0!</v>
      </c>
      <c r="BD13" s="29" t="e">
        <f t="shared" si="30"/>
        <v>#DIV/0!</v>
      </c>
      <c r="BE13" s="29" t="e">
        <f t="shared" si="30"/>
        <v>#DIV/0!</v>
      </c>
      <c r="BF13" s="29" t="e">
        <f t="shared" si="30"/>
        <v>#DIV/0!</v>
      </c>
      <c r="BG13" s="29" t="e">
        <f t="shared" si="30"/>
        <v>#DIV/0!</v>
      </c>
      <c r="BH13" s="29" t="e">
        <f t="shared" si="30"/>
        <v>#DIV/0!</v>
      </c>
      <c r="BI13" s="29" t="e">
        <f t="shared" si="30"/>
        <v>#DIV/0!</v>
      </c>
      <c r="BJ13" s="29" t="e">
        <f t="shared" si="30"/>
        <v>#DIV/0!</v>
      </c>
      <c r="BK13" s="29" t="e">
        <f t="shared" si="30"/>
        <v>#DIV/0!</v>
      </c>
    </row>
    <row r="14" spans="1:63">
      <c r="A14" s="15"/>
      <c r="B14" s="16" t="s">
        <v>86</v>
      </c>
      <c r="C14" s="17" t="s">
        <v>87</v>
      </c>
      <c r="D14" s="17"/>
      <c r="E14" s="95">
        <f>IF(E4&lt;30,2000,IF(E4&lt;50,1500,IF(E4&lt;100,1200,IF(E4&lt;200,1000,800))))</f>
        <v>2000</v>
      </c>
      <c r="F14" s="97"/>
      <c r="G14" s="97"/>
      <c r="H14" s="97"/>
      <c r="I14" s="97"/>
      <c r="J14" s="97"/>
      <c r="K14" s="97"/>
      <c r="L14" s="97"/>
      <c r="M14" s="97"/>
      <c r="N14" s="9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0</v>
      </c>
      <c r="AK14" s="29" cm="1">
        <f t="array" ref="AK14">IF(AK2&lt;=$E$10,$E$4*SUMPRODUCT($E$9:$N$9,$E$22:$N$22),0)</f>
        <v>0</v>
      </c>
      <c r="AL14" s="29" cm="1">
        <f t="array" ref="AL14">IF(AL2&lt;=$E$10,$E$4*SUMPRODUCT($E$9:$N$9,$E$22:$N$22),0)</f>
        <v>0</v>
      </c>
      <c r="AM14" s="29" cm="1">
        <f t="array" ref="AM14">IF(AM2&lt;=$E$10,$E$4*SUMPRODUCT($E$9:$N$9,$E$22:$N$22),0)</f>
        <v>0</v>
      </c>
      <c r="AN14" s="29" cm="1">
        <f t="array" ref="AN14">IF(AN2&lt;=$E$10,$E$4*SUMPRODUCT($E$9:$N$9,$E$22:$N$22),0)</f>
        <v>0</v>
      </c>
      <c r="AO14" s="29" cm="1">
        <f t="array" ref="AO14">IF(AO2&lt;=$E$10,$E$4*SUMPRODUCT($E$9:$N$9,$E$22:$N$22),0)</f>
        <v>0</v>
      </c>
      <c r="AP14" s="29" cm="1">
        <f t="array" ref="AP14">IF(AP2&lt;=$E$10,$E$4*SUMPRODUCT($E$9:$N$9,$E$22:$N$22),0)</f>
        <v>0</v>
      </c>
      <c r="AQ14" s="29" cm="1">
        <f t="array" ref="AQ14">IF(AQ2&lt;=$E$10,$E$4*SUMPRODUCT($E$9:$N$9,$E$22:$N$22),0)</f>
        <v>0</v>
      </c>
      <c r="AR14" s="29" cm="1">
        <f t="array" ref="AR14">IF(AR2&lt;=$E$10,$E$4*SUMPRODUCT($E$9:$N$9,$E$22:$N$22),0)</f>
        <v>0</v>
      </c>
      <c r="AS14" s="29" cm="1">
        <f t="array" ref="AS14">IF(AS2&lt;=$E$10,$E$4*SUMPRODUCT($E$9:$N$9,$E$22:$N$22),0)</f>
        <v>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 t="e">
        <f t="shared" ref="BA14:BK14" si="31">$E$16*12/$E$10</f>
        <v>#DIV/0!</v>
      </c>
      <c r="BB14" s="29" t="e">
        <f t="shared" si="31"/>
        <v>#DIV/0!</v>
      </c>
      <c r="BC14" s="29" t="e">
        <f t="shared" si="31"/>
        <v>#DIV/0!</v>
      </c>
      <c r="BD14" s="29" t="e">
        <f t="shared" si="31"/>
        <v>#DIV/0!</v>
      </c>
      <c r="BE14" s="29" t="e">
        <f t="shared" si="31"/>
        <v>#DIV/0!</v>
      </c>
      <c r="BF14" s="29" t="e">
        <f t="shared" si="31"/>
        <v>#DIV/0!</v>
      </c>
      <c r="BG14" s="29" t="e">
        <f t="shared" si="31"/>
        <v>#DIV/0!</v>
      </c>
      <c r="BH14" s="29" t="e">
        <f t="shared" si="31"/>
        <v>#DIV/0!</v>
      </c>
      <c r="BI14" s="29" t="e">
        <f t="shared" si="31"/>
        <v>#DIV/0!</v>
      </c>
      <c r="BJ14" s="29" t="e">
        <f t="shared" si="31"/>
        <v>#DIV/0!</v>
      </c>
      <c r="BK14" s="29" t="e">
        <f t="shared" si="31"/>
        <v>#DIV/0!</v>
      </c>
    </row>
    <row r="15" spans="1:63">
      <c r="A15" s="15"/>
      <c r="B15" s="16" t="s">
        <v>89</v>
      </c>
      <c r="C15" s="17" t="s">
        <v>90</v>
      </c>
      <c r="D15" s="17"/>
      <c r="E15" s="95"/>
      <c r="F15" s="97"/>
      <c r="G15" s="97"/>
      <c r="H15" s="97"/>
      <c r="I15" s="97"/>
      <c r="J15" s="97"/>
      <c r="K15" s="97"/>
      <c r="L15" s="97"/>
      <c r="M15" s="97"/>
      <c r="N15" s="9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0</v>
      </c>
      <c r="AK15" s="29" cm="1">
        <f t="array" ref="AK15">IF(AK2&lt;=$E$10,$E$4*SUMPRODUCT($E$23:$N$23,$E$9:$N$9),0)</f>
        <v>0</v>
      </c>
      <c r="AL15" s="29" cm="1">
        <f t="array" ref="AL15">IF(AL2&lt;=$E$10,$E$4*SUMPRODUCT($E$23:$N$23,$E$9:$N$9),0)</f>
        <v>0</v>
      </c>
      <c r="AM15" s="29" cm="1">
        <f t="array" ref="AM15">IF(AM2&lt;=$E$10,$E$4*SUMPRODUCT($E$23:$N$23,$E$9:$N$9),0)</f>
        <v>0</v>
      </c>
      <c r="AN15" s="29" cm="1">
        <f t="array" ref="AN15">IF(AN2&lt;=$E$10,$E$4*SUMPRODUCT($E$23:$N$23,$E$9:$N$9),0)</f>
        <v>0</v>
      </c>
      <c r="AO15" s="29" cm="1">
        <f t="array" ref="AO15">IF(AO2&lt;=$E$10,$E$4*SUMPRODUCT($E$23:$N$23,$E$9:$N$9),0)</f>
        <v>0</v>
      </c>
      <c r="AP15" s="29" cm="1">
        <f t="array" ref="AP15">IF(AP2&lt;=$E$10,$E$4*SUMPRODUCT($E$23:$N$23,$E$9:$N$9),0)</f>
        <v>0</v>
      </c>
      <c r="AQ15" s="29" cm="1">
        <f t="array" ref="AQ15">IF(AQ2&lt;=$E$10,$E$4*SUMPRODUCT($E$23:$N$23,$E$9:$N$9),0)</f>
        <v>0</v>
      </c>
      <c r="AR15" s="29" cm="1">
        <f t="array" ref="AR15">IF(AR2&lt;=$E$10,$E$4*SUMPRODUCT($E$23:$N$23,$E$9:$N$9),0)</f>
        <v>0</v>
      </c>
      <c r="AS15" s="29" cm="1">
        <f t="array" ref="AS15">IF(AS2&lt;=$E$10,$E$4*SUMPRODUCT($E$23:$N$23,$E$9:$N$9),0)</f>
        <v>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 t="e">
        <f t="shared" ref="BA15:BK15" si="32">$E$17*12/$E$10</f>
        <v>#DIV/0!</v>
      </c>
      <c r="BB15" s="29" t="e">
        <f t="shared" si="32"/>
        <v>#DIV/0!</v>
      </c>
      <c r="BC15" s="29" t="e">
        <f t="shared" si="32"/>
        <v>#DIV/0!</v>
      </c>
      <c r="BD15" s="29" t="e">
        <f t="shared" si="32"/>
        <v>#DIV/0!</v>
      </c>
      <c r="BE15" s="29" t="e">
        <f t="shared" si="32"/>
        <v>#DIV/0!</v>
      </c>
      <c r="BF15" s="29" t="e">
        <f t="shared" si="32"/>
        <v>#DIV/0!</v>
      </c>
      <c r="BG15" s="29" t="e">
        <f t="shared" si="32"/>
        <v>#DIV/0!</v>
      </c>
      <c r="BH15" s="29" t="e">
        <f t="shared" si="32"/>
        <v>#DIV/0!</v>
      </c>
      <c r="BI15" s="29" t="e">
        <f t="shared" si="32"/>
        <v>#DIV/0!</v>
      </c>
      <c r="BJ15" s="29" t="e">
        <f t="shared" si="32"/>
        <v>#DIV/0!</v>
      </c>
      <c r="BK15" s="29" t="e">
        <f t="shared" si="32"/>
        <v>#DIV/0!</v>
      </c>
    </row>
    <row r="16" spans="1:63">
      <c r="A16" s="15"/>
      <c r="B16" s="16" t="s">
        <v>92</v>
      </c>
      <c r="C16" s="17" t="s">
        <v>93</v>
      </c>
      <c r="D16" s="17"/>
      <c r="E16" s="95"/>
      <c r="F16" s="97"/>
      <c r="G16" s="97"/>
      <c r="H16" s="97"/>
      <c r="I16" s="97"/>
      <c r="J16" s="97"/>
      <c r="K16" s="97"/>
      <c r="L16" s="97"/>
      <c r="M16" s="97"/>
      <c r="N16" s="9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 t="e">
        <f t="shared" ref="BA16:BK16" si="33">$E$18*12/$E$10</f>
        <v>#DIV/0!</v>
      </c>
      <c r="BB16" s="29" t="e">
        <f t="shared" si="33"/>
        <v>#DIV/0!</v>
      </c>
      <c r="BC16" s="29" t="e">
        <f t="shared" si="33"/>
        <v>#DIV/0!</v>
      </c>
      <c r="BD16" s="29" t="e">
        <f t="shared" si="33"/>
        <v>#DIV/0!</v>
      </c>
      <c r="BE16" s="29" t="e">
        <f t="shared" si="33"/>
        <v>#DIV/0!</v>
      </c>
      <c r="BF16" s="29" t="e">
        <f t="shared" si="33"/>
        <v>#DIV/0!</v>
      </c>
      <c r="BG16" s="29" t="e">
        <f t="shared" si="33"/>
        <v>#DIV/0!</v>
      </c>
      <c r="BH16" s="29" t="e">
        <f t="shared" si="33"/>
        <v>#DIV/0!</v>
      </c>
      <c r="BI16" s="29" t="e">
        <f t="shared" si="33"/>
        <v>#DIV/0!</v>
      </c>
      <c r="BJ16" s="29" t="e">
        <f t="shared" si="33"/>
        <v>#DIV/0!</v>
      </c>
      <c r="BK16" s="29" t="e">
        <f t="shared" si="33"/>
        <v>#DIV/0!</v>
      </c>
    </row>
    <row r="17" spans="1:63">
      <c r="A17" s="15"/>
      <c r="B17" s="16" t="s">
        <v>95</v>
      </c>
      <c r="C17" s="17" t="s">
        <v>96</v>
      </c>
      <c r="D17" s="17"/>
      <c r="E17" s="95">
        <f>4000/12</f>
        <v>333.333333333333</v>
      </c>
      <c r="F17" s="97"/>
      <c r="G17" s="97"/>
      <c r="H17" s="97"/>
      <c r="I17" s="97"/>
      <c r="J17" s="97"/>
      <c r="K17" s="97"/>
      <c r="L17" s="97"/>
      <c r="M17" s="97"/>
      <c r="N17" s="9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0</v>
      </c>
      <c r="AK17" s="29" cm="1">
        <f t="array" ref="AK17">IF(AK2&lt;=$E$10,$E$4*SUMPRODUCT($E$9:$N$9,$E$25:$N$25),0)</f>
        <v>0</v>
      </c>
      <c r="AL17" s="29" cm="1">
        <f t="array" ref="AL17">IF(AL2&lt;=$E$10,$E$4*SUMPRODUCT($E$9:$N$9,$E$25:$N$25),0)</f>
        <v>0</v>
      </c>
      <c r="AM17" s="29" cm="1">
        <f t="array" ref="AM17">IF(AM2&lt;=$E$10,$E$4*SUMPRODUCT($E$9:$N$9,$E$25:$N$25),0)</f>
        <v>0</v>
      </c>
      <c r="AN17" s="29" cm="1">
        <f t="array" ref="AN17">IF(AN2&lt;=$E$10,$E$4*SUMPRODUCT($E$9:$N$9,$E$25:$N$25),0)</f>
        <v>0</v>
      </c>
      <c r="AO17" s="29" cm="1">
        <f t="array" ref="AO17">IF(AO2&lt;=$E$10,$E$4*SUMPRODUCT($E$9:$N$9,$E$25:$N$25),0)</f>
        <v>0</v>
      </c>
      <c r="AP17" s="29" cm="1">
        <f t="array" ref="AP17">IF(AP2&lt;=$E$10,$E$4*SUMPRODUCT($E$9:$N$9,$E$25:$N$25),0)</f>
        <v>0</v>
      </c>
      <c r="AQ17" s="29" cm="1">
        <f t="array" ref="AQ17">IF(AQ2&lt;=$E$10,$E$4*SUMPRODUCT($E$9:$N$9,$E$25:$N$25),0)</f>
        <v>0</v>
      </c>
      <c r="AR17" s="29" cm="1">
        <f t="array" ref="AR17">IF(AR2&lt;=$E$10,$E$4*SUMPRODUCT($E$9:$N$9,$E$25:$N$25),0)</f>
        <v>0</v>
      </c>
      <c r="AS17" s="29" cm="1">
        <f t="array" ref="AS17">IF(AS2&lt;=$E$10,$E$4*SUMPRODUCT($E$9:$N$9,$E$25:$N$25),0)</f>
        <v>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 t="e">
        <f t="shared" ref="BA17:BK17" si="34">$E$19*12/$E$10</f>
        <v>#DIV/0!</v>
      </c>
      <c r="BB17" s="29" t="e">
        <f t="shared" si="34"/>
        <v>#DIV/0!</v>
      </c>
      <c r="BC17" s="29" t="e">
        <f t="shared" si="34"/>
        <v>#DIV/0!</v>
      </c>
      <c r="BD17" s="29" t="e">
        <f t="shared" si="34"/>
        <v>#DIV/0!</v>
      </c>
      <c r="BE17" s="29" t="e">
        <f t="shared" si="34"/>
        <v>#DIV/0!</v>
      </c>
      <c r="BF17" s="29" t="e">
        <f t="shared" si="34"/>
        <v>#DIV/0!</v>
      </c>
      <c r="BG17" s="29" t="e">
        <f t="shared" si="34"/>
        <v>#DIV/0!</v>
      </c>
      <c r="BH17" s="29" t="e">
        <f t="shared" si="34"/>
        <v>#DIV/0!</v>
      </c>
      <c r="BI17" s="29" t="e">
        <f t="shared" si="34"/>
        <v>#DIV/0!</v>
      </c>
      <c r="BJ17" s="29" t="e">
        <f t="shared" si="34"/>
        <v>#DIV/0!</v>
      </c>
      <c r="BK17" s="29" t="e">
        <f t="shared" si="34"/>
        <v>#DIV/0!</v>
      </c>
    </row>
    <row r="18" spans="1:63">
      <c r="A18" s="15"/>
      <c r="B18" s="16" t="s">
        <v>98</v>
      </c>
      <c r="C18" s="17" t="s">
        <v>99</v>
      </c>
      <c r="D18" s="17"/>
      <c r="E18" s="95"/>
      <c r="F18" s="97"/>
      <c r="G18" s="97"/>
      <c r="H18" s="97"/>
      <c r="I18" s="97"/>
      <c r="J18" s="97"/>
      <c r="K18" s="97"/>
      <c r="L18" s="97"/>
      <c r="M18" s="97"/>
      <c r="N18" s="97"/>
      <c r="Q18" s="90" t="s">
        <v>20</v>
      </c>
      <c r="R18" s="20">
        <f>$E$4*$E$7*$E$8*$E$9</f>
        <v>0</v>
      </c>
      <c r="S18" s="51" t="e">
        <f>SUM($S$41:$S$49)</f>
        <v>#DIV/0!</v>
      </c>
      <c r="T18" s="51" t="e">
        <f>SUM($S$50:$S$55)</f>
        <v>#DIV/0!</v>
      </c>
      <c r="U18" s="51" t="e">
        <f>SUM($S$56:$S$57)</f>
        <v>#DIV/0!</v>
      </c>
      <c r="V18" s="29" t="e">
        <f>MAX(0,S58-S59)</f>
        <v>#DIV/0!</v>
      </c>
      <c r="W18" s="51" t="e">
        <f t="shared" ref="W18:W28" si="35">R18-S18-T18-U18-V18</f>
        <v>#DIV/0!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0</v>
      </c>
      <c r="AK18" s="29" cm="1">
        <f t="array" ref="AK18">IF(AK2&lt;=$E$10,$E$4*$E$5*SUMPRODUCT(IF($E$8:$N$8,$E$32,$E$33),$E$6:$N$6,$E$9:$N$9),0)</f>
        <v>0</v>
      </c>
      <c r="AL18" s="29" cm="1">
        <f t="array" ref="AL18">IF(AL2&lt;=$E$10,$E$4*$E$5*SUMPRODUCT(IF($E$8:$N$8,$E$32,$E$33),$E$6:$N$6,$E$9:$N$9),0)</f>
        <v>0</v>
      </c>
      <c r="AM18" s="29" cm="1">
        <f t="array" ref="AM18">IF(AM2&lt;=$E$10,$E$4*$E$5*SUMPRODUCT(IF($E$8:$N$8,$E$32,$E$33),$E$6:$N$6,$E$9:$N$9),0)</f>
        <v>0</v>
      </c>
      <c r="AN18" s="29" cm="1">
        <f t="array" ref="AN18">IF(AN2&lt;=$E$10,$E$4*$E$5*SUMPRODUCT(IF($E$8:$N$8,$E$32,$E$33),$E$6:$N$6,$E$9:$N$9),0)</f>
        <v>0</v>
      </c>
      <c r="AO18" s="29" cm="1">
        <f t="array" ref="AO18">IF(AO2&lt;=$E$10,$E$4*$E$5*SUMPRODUCT(IF($E$8:$N$8,$E$32,$E$33),$E$6:$N$6,$E$9:$N$9),0)</f>
        <v>0</v>
      </c>
      <c r="AP18" s="29" cm="1">
        <f t="array" ref="AP18">IF(AP2&lt;=$E$10,$E$4*$E$5*SUMPRODUCT(IF($E$8:$N$8,$E$32,$E$33),$E$6:$N$6,$E$9:$N$9),0)</f>
        <v>0</v>
      </c>
      <c r="AQ18" s="29" cm="1">
        <f t="array" ref="AQ18">IF(AQ2&lt;=$E$10,$E$4*$E$5*SUMPRODUCT(IF($E$8:$N$8,$E$32,$E$33),$E$6:$N$6,$E$9:$N$9),0)</f>
        <v>0</v>
      </c>
      <c r="AR18" s="29" cm="1">
        <f t="array" ref="AR18">IF(AR2&lt;=$E$10,$E$4*$E$5*SUMPRODUCT(IF($E$8:$N$8,$E$32,$E$33),$E$6:$N$6,$E$9:$N$9),0)</f>
        <v>0</v>
      </c>
      <c r="AS18" s="29" cm="1">
        <f t="array" ref="AS18">IF(AS2&lt;=$E$10,$E$4*$E$5*SUMPRODUCT(IF($E$8:$N$8,$E$32,$E$33),$E$6:$N$6,$E$9:$N$9),0)</f>
        <v>0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 t="e">
        <f t="shared" ref="BA18:BK18" si="36">$E$20*12/$E$10</f>
        <v>#DIV/0!</v>
      </c>
      <c r="BB18" s="29" t="e">
        <f t="shared" si="36"/>
        <v>#DIV/0!</v>
      </c>
      <c r="BC18" s="29" t="e">
        <f t="shared" si="36"/>
        <v>#DIV/0!</v>
      </c>
      <c r="BD18" s="29" t="e">
        <f t="shared" si="36"/>
        <v>#DIV/0!</v>
      </c>
      <c r="BE18" s="29" t="e">
        <f t="shared" si="36"/>
        <v>#DIV/0!</v>
      </c>
      <c r="BF18" s="29" t="e">
        <f t="shared" si="36"/>
        <v>#DIV/0!</v>
      </c>
      <c r="BG18" s="29" t="e">
        <f t="shared" si="36"/>
        <v>#DIV/0!</v>
      </c>
      <c r="BH18" s="29" t="e">
        <f t="shared" si="36"/>
        <v>#DIV/0!</v>
      </c>
      <c r="BI18" s="29" t="e">
        <f t="shared" si="36"/>
        <v>#DIV/0!</v>
      </c>
      <c r="BJ18" s="29" t="e">
        <f t="shared" si="36"/>
        <v>#DIV/0!</v>
      </c>
      <c r="BK18" s="29" t="e">
        <f t="shared" si="36"/>
        <v>#DIV/0!</v>
      </c>
    </row>
    <row r="19" spans="1:63">
      <c r="A19" s="15"/>
      <c r="B19" s="16" t="s">
        <v>101</v>
      </c>
      <c r="C19" s="17" t="s">
        <v>102</v>
      </c>
      <c r="D19" s="17"/>
      <c r="E19" s="95"/>
      <c r="F19" s="97"/>
      <c r="G19" s="97"/>
      <c r="H19" s="97"/>
      <c r="I19" s="97"/>
      <c r="J19" s="97"/>
      <c r="K19" s="97"/>
      <c r="L19" s="97"/>
      <c r="M19" s="97"/>
      <c r="N19" s="97"/>
      <c r="Q19" s="90" t="s">
        <v>22</v>
      </c>
      <c r="R19" s="20">
        <f>$E$4*$F$7*$F$8*$F$9</f>
        <v>0</v>
      </c>
      <c r="S19" s="51" t="e">
        <f>SUM($T$41:$T$49)</f>
        <v>#DIV/0!</v>
      </c>
      <c r="T19" s="51" t="e">
        <f>SUM($T$50:$T$55)</f>
        <v>#DIV/0!</v>
      </c>
      <c r="U19" s="51" t="e">
        <f>SUM($T$56:$T$57)</f>
        <v>#DIV/0!</v>
      </c>
      <c r="V19" s="29" t="e">
        <f>MAX(0,T58-T59)</f>
        <v>#DIV/0!</v>
      </c>
      <c r="W19" s="51" t="e">
        <f t="shared" si="35"/>
        <v>#DIV/0!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0</v>
      </c>
      <c r="AK19" s="24" cm="1">
        <f t="array" ref="AK19">IF(AK2&lt;=$E$10,SUMPRODUCT($E$6:$N$6,$E$9:$N$9)/$E$29*$E$30*$E$4*$E$31,0)</f>
        <v>0</v>
      </c>
      <c r="AL19" s="24" cm="1">
        <f t="array" ref="AL19">IF(AL2&lt;=$E$10,SUMPRODUCT($E$6:$N$6,$E$9:$N$9)/$E$29*$E$30*$E$4*$E$31,0)</f>
        <v>0</v>
      </c>
      <c r="AM19" s="24" cm="1">
        <f t="array" ref="AM19">IF(AM2&lt;=$E$10,SUMPRODUCT($E$6:$N$6,$E$9:$N$9)/$E$29*$E$30*$E$4*$E$31,0)</f>
        <v>0</v>
      </c>
      <c r="AN19" s="24" cm="1">
        <f t="array" ref="AN19">IF(AN2&lt;=$E$10,SUMPRODUCT($E$6:$N$6,$E$9:$N$9)/$E$29*$E$30*$E$4*$E$31,0)</f>
        <v>0</v>
      </c>
      <c r="AO19" s="24" cm="1">
        <f t="array" ref="AO19">IF(AO2&lt;=$E$10,SUMPRODUCT($E$6:$N$6,$E$9:$N$9)/$E$29*$E$30*$E$4*$E$31,0)</f>
        <v>0</v>
      </c>
      <c r="AP19" s="24" cm="1">
        <f t="array" ref="AP19">IF(AP2&lt;=$E$10,SUMPRODUCT($E$6:$N$6,$E$9:$N$9)/$E$29*$E$30*$E$4*$E$31,0)</f>
        <v>0</v>
      </c>
      <c r="AQ19" s="24" cm="1">
        <f t="array" ref="AQ19">IF(AQ2&lt;=$E$10,SUMPRODUCT($E$6:$N$6,$E$9:$N$9)/$E$29*$E$30*$E$4*$E$31,0)</f>
        <v>0</v>
      </c>
      <c r="AR19" s="24" cm="1">
        <f t="array" ref="AR19">IF(AR2&lt;=$E$10,SUMPRODUCT($E$6:$N$6,$E$9:$N$9)/$E$29*$E$30*$E$4*$E$31,0)</f>
        <v>0</v>
      </c>
      <c r="AS19" s="24" cm="1">
        <f t="array" ref="AS19">IF(AS2&lt;=$E$10,SUMPRODUCT($E$6:$N$6,$E$9:$N$9)/$E$29*$E$30*$E$4*$E$31,0)</f>
        <v>0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 t="e">
        <f t="shared" ref="BA19:BK19" si="37">$E$21*12/$E$10</f>
        <v>#DIV/0!</v>
      </c>
      <c r="BB19" s="24" t="e">
        <f t="shared" si="37"/>
        <v>#DIV/0!</v>
      </c>
      <c r="BC19" s="24" t="e">
        <f t="shared" si="37"/>
        <v>#DIV/0!</v>
      </c>
      <c r="BD19" s="24" t="e">
        <f t="shared" si="37"/>
        <v>#DIV/0!</v>
      </c>
      <c r="BE19" s="24" t="e">
        <f t="shared" si="37"/>
        <v>#DIV/0!</v>
      </c>
      <c r="BF19" s="24" t="e">
        <f t="shared" si="37"/>
        <v>#DIV/0!</v>
      </c>
      <c r="BG19" s="24" t="e">
        <f t="shared" si="37"/>
        <v>#DIV/0!</v>
      </c>
      <c r="BH19" s="24" t="e">
        <f t="shared" si="37"/>
        <v>#DIV/0!</v>
      </c>
      <c r="BI19" s="24" t="e">
        <f t="shared" si="37"/>
        <v>#DIV/0!</v>
      </c>
      <c r="BJ19" s="24" t="e">
        <f t="shared" si="37"/>
        <v>#DIV/0!</v>
      </c>
      <c r="BK19" s="24" t="e">
        <f t="shared" si="37"/>
        <v>#DIV/0!</v>
      </c>
    </row>
    <row r="20" spans="1:63">
      <c r="A20" s="15"/>
      <c r="B20" s="16" t="s">
        <v>104</v>
      </c>
      <c r="C20" s="17" t="s">
        <v>105</v>
      </c>
      <c r="D20" s="17"/>
      <c r="E20" s="95">
        <f>4000/12</f>
        <v>333.333333333333</v>
      </c>
      <c r="F20" s="95"/>
      <c r="G20" s="95"/>
      <c r="H20" s="95"/>
      <c r="I20" s="95"/>
      <c r="J20" s="95"/>
      <c r="K20" s="95"/>
      <c r="L20" s="95"/>
      <c r="M20" s="95"/>
      <c r="N20" s="95"/>
      <c r="Q20" s="90" t="s">
        <v>24</v>
      </c>
      <c r="R20" s="20">
        <f>$E$4*$G$7*$G$8*$G$9</f>
        <v>0</v>
      </c>
      <c r="S20" s="51" t="e">
        <f>SUM($U$41:$U$49)</f>
        <v>#DIV/0!</v>
      </c>
      <c r="T20" s="51" t="e">
        <f>SUM($U$50:$U$55)</f>
        <v>#DIV/0!</v>
      </c>
      <c r="U20" s="51" t="e">
        <f>SUM($U$56:$U$57)</f>
        <v>#DIV/0!</v>
      </c>
      <c r="V20" s="29" t="e">
        <f>MAX(0,U58-U59)</f>
        <v>#DIV/0!</v>
      </c>
      <c r="W20" s="51" t="e">
        <f t="shared" si="35"/>
        <v>#DIV/0!</v>
      </c>
      <c r="AE20" s="27"/>
      <c r="AF20" s="37"/>
      <c r="AG20" s="28" t="s">
        <v>16</v>
      </c>
      <c r="AH20" s="1" t="s">
        <v>106</v>
      </c>
      <c r="AI20" s="35"/>
      <c r="AJ20" s="29">
        <f t="shared" ref="AJ20:AU20" si="38">AJ3*$E$34/12*$E$26</f>
        <v>0</v>
      </c>
      <c r="AK20" s="29">
        <f t="shared" si="38"/>
        <v>0</v>
      </c>
      <c r="AL20" s="29">
        <f t="shared" si="38"/>
        <v>0</v>
      </c>
      <c r="AM20" s="29">
        <f t="shared" si="38"/>
        <v>0</v>
      </c>
      <c r="AN20" s="29">
        <f t="shared" si="38"/>
        <v>0</v>
      </c>
      <c r="AO20" s="29">
        <f t="shared" si="38"/>
        <v>0</v>
      </c>
      <c r="AP20" s="29">
        <f t="shared" si="38"/>
        <v>0</v>
      </c>
      <c r="AQ20" s="29">
        <f t="shared" si="38"/>
        <v>0</v>
      </c>
      <c r="AR20" s="29">
        <f t="shared" si="38"/>
        <v>0</v>
      </c>
      <c r="AS20" s="29">
        <f t="shared" si="38"/>
        <v>0</v>
      </c>
      <c r="AT20" s="29">
        <f t="shared" si="38"/>
        <v>0</v>
      </c>
      <c r="AU20" s="29">
        <f t="shared" si="38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0</v>
      </c>
      <c r="BB20" s="29" cm="1">
        <f t="array" ref="BB20">_xlfn.LET(_xlpm.n,IF($AX$5="✔",$AZ$5,0),SUMPRODUCT($E$9:$N$9+BB$2*_xlpm.n,$E$22:$N$22))</f>
        <v>0</v>
      </c>
      <c r="BC20" s="29" cm="1">
        <f t="array" ref="BC20">_xlfn.LET(_xlpm.n,IF($AX$5="✔",$AZ$5,0),SUMPRODUCT($E$9:$N$9+BC$2*_xlpm.n,$E$22:$N$22))</f>
        <v>0</v>
      </c>
      <c r="BD20" s="29" cm="1">
        <f t="array" ref="BD20">_xlfn.LET(_xlpm.n,IF($AX$5="✔",$AZ$5,0),SUMPRODUCT($E$9:$N$9+BD$2*_xlpm.n,$E$22:$N$22))</f>
        <v>0</v>
      </c>
      <c r="BE20" s="29" cm="1">
        <f t="array" ref="BE20">_xlfn.LET(_xlpm.n,IF($AX$5="✔",$AZ$5,0),SUMPRODUCT($E$9:$N$9+BE$2*_xlpm.n,$E$22:$N$22))</f>
        <v>0</v>
      </c>
      <c r="BF20" s="29" cm="1">
        <f t="array" ref="BF20">SUMPRODUCT($E$9:$N$9,$E$22:$N$22)</f>
        <v>0</v>
      </c>
      <c r="BG20" s="29" cm="1">
        <f t="array" ref="BG20">_xlfn.LET(_xlpm.n,IF($AX$5="✔",$AZ$5,0),SUMPRODUCT($E$9:$N$9+BG$2*_xlpm.n,$E$22:$N$22))</f>
        <v>0</v>
      </c>
      <c r="BH20" s="29" cm="1">
        <f t="array" ref="BH20">_xlfn.LET(_xlpm.n,IF($AX$5="✔",$AZ$5,0),SUMPRODUCT($E$9:$N$9+BH$2*_xlpm.n,$E$22:$N$22))</f>
        <v>0</v>
      </c>
      <c r="BI20" s="29" cm="1">
        <f t="array" ref="BI20">_xlfn.LET(_xlpm.n,IF($AX$5="✔",$AZ$5,0),SUMPRODUCT($E$9:$N$9+BI$2*_xlpm.n,$E$22:$N$22))</f>
        <v>0</v>
      </c>
      <c r="BJ20" s="29" cm="1">
        <f t="array" ref="BJ20">_xlfn.LET(_xlpm.n,IF($AX$5="✔",$AZ$5,0),SUMPRODUCT($E$9:$N$9+BJ$2*_xlpm.n,$E$22:$N$22))</f>
        <v>0</v>
      </c>
      <c r="BK20" s="29" cm="1">
        <f t="array" ref="BK20">_xlfn.LET(_xlpm.n,IF($AX$5="✔",$AZ$5,0),SUMPRODUCT($E$9:$N$9+BK$2*_xlpm.n,$E$22:$N$22))</f>
        <v>0</v>
      </c>
    </row>
    <row r="21" spans="1:63">
      <c r="A21" s="15"/>
      <c r="B21" s="16" t="s">
        <v>107</v>
      </c>
      <c r="C21" s="17" t="s">
        <v>108</v>
      </c>
      <c r="D21" s="17"/>
      <c r="E21" s="95">
        <v>200</v>
      </c>
      <c r="F21" s="95"/>
      <c r="G21" s="95"/>
      <c r="H21" s="95"/>
      <c r="I21" s="95"/>
      <c r="J21" s="95"/>
      <c r="K21" s="95"/>
      <c r="L21" s="95"/>
      <c r="M21" s="95"/>
      <c r="N21" s="95"/>
      <c r="Q21" s="90" t="s">
        <v>25</v>
      </c>
      <c r="R21" s="20">
        <f>$E$4*$H$7*$H$8*$H$9</f>
        <v>0</v>
      </c>
      <c r="S21" s="51" t="e">
        <f>SUM($V$41:$V$49)</f>
        <v>#DIV/0!</v>
      </c>
      <c r="T21" s="51" t="e">
        <f>SUM($V$50:$V$55)</f>
        <v>#DIV/0!</v>
      </c>
      <c r="U21" s="51" t="e">
        <f>SUM($V$56:$V$57)</f>
        <v>#DIV/0!</v>
      </c>
      <c r="V21" s="29" t="e">
        <f>MAX(0,V58-V59)</f>
        <v>#DIV/0!</v>
      </c>
      <c r="W21" s="51" t="e">
        <f t="shared" si="35"/>
        <v>#DIV/0!</v>
      </c>
      <c r="AE21" s="27"/>
      <c r="AF21" s="27"/>
      <c r="AG21" s="28"/>
      <c r="AH21" s="1" t="s">
        <v>109</v>
      </c>
      <c r="AI21" s="35"/>
      <c r="AJ21" s="29">
        <f t="shared" ref="AJ21:AU21" si="39">SUM(AJ5:AJ19)*$E$35/12*$E$27</f>
        <v>0</v>
      </c>
      <c r="AK21" s="29">
        <f t="shared" si="39"/>
        <v>0</v>
      </c>
      <c r="AL21" s="29">
        <f t="shared" si="39"/>
        <v>0</v>
      </c>
      <c r="AM21" s="29">
        <f t="shared" si="39"/>
        <v>0</v>
      </c>
      <c r="AN21" s="29">
        <f t="shared" si="39"/>
        <v>0</v>
      </c>
      <c r="AO21" s="29">
        <f t="shared" si="39"/>
        <v>0</v>
      </c>
      <c r="AP21" s="29">
        <f t="shared" si="39"/>
        <v>0</v>
      </c>
      <c r="AQ21" s="29">
        <f t="shared" si="39"/>
        <v>0</v>
      </c>
      <c r="AR21" s="29">
        <f t="shared" si="39"/>
        <v>0</v>
      </c>
      <c r="AS21" s="29">
        <f t="shared" si="39"/>
        <v>0</v>
      </c>
      <c r="AT21" s="29">
        <f t="shared" si="39"/>
        <v>0</v>
      </c>
      <c r="AU21" s="29">
        <f t="shared" si="39"/>
        <v>0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0</v>
      </c>
      <c r="BB21" s="29" cm="1">
        <f t="array" ref="BB21">_xlfn.LET(_xlpm.n,IF($AX$5="✔",$AZ$5,0),SUMPRODUCT($E$9:$N$9+BB$2*_xlpm.n,$E$23:$N$23))</f>
        <v>0</v>
      </c>
      <c r="BC21" s="29" cm="1">
        <f t="array" ref="BC21">_xlfn.LET(_xlpm.n,IF($AX$5="✔",$AZ$5,0),SUMPRODUCT($E$9:$N$9+BC$2*_xlpm.n,$E$23:$N$23))</f>
        <v>0</v>
      </c>
      <c r="BD21" s="29" cm="1">
        <f t="array" ref="BD21">_xlfn.LET(_xlpm.n,IF($AX$5="✔",$AZ$5,0),SUMPRODUCT($E$9:$N$9+BD$2*_xlpm.n,$E$23:$N$23))</f>
        <v>0</v>
      </c>
      <c r="BE21" s="29" cm="1">
        <f t="array" ref="BE21">_xlfn.LET(_xlpm.n,IF($AX$5="✔",$AZ$5,0),SUMPRODUCT($E$9:$N$9+BE$2*_xlpm.n,$E$23:$N$23))</f>
        <v>0</v>
      </c>
      <c r="BF21" s="29" cm="1">
        <f t="array" ref="BF21">SUMPRODUCT($E$9:$N$9,$E$23:$N$23)</f>
        <v>0</v>
      </c>
      <c r="BG21" s="29" cm="1">
        <f t="array" ref="BG21">_xlfn.LET(_xlpm.n,IF($AX$5="✔",$AZ$5,0),SUMPRODUCT($E$9:$N$9+BG$2*_xlpm.n,$E$23:$N$23))</f>
        <v>0</v>
      </c>
      <c r="BH21" s="29" cm="1">
        <f t="array" ref="BH21">_xlfn.LET(_xlpm.n,IF($AX$5="✔",$AZ$5,0),SUMPRODUCT($E$9:$N$9+BH$2*_xlpm.n,$E$23:$N$23))</f>
        <v>0</v>
      </c>
      <c r="BI21" s="29" cm="1">
        <f t="array" ref="BI21">_xlfn.LET(_xlpm.n,IF($AX$5="✔",$AZ$5,0),SUMPRODUCT($E$9:$N$9+BI$2*_xlpm.n,$E$23:$N$23))</f>
        <v>0</v>
      </c>
      <c r="BJ21" s="29" cm="1">
        <f t="array" ref="BJ21">_xlfn.LET(_xlpm.n,IF($AX$5="✔",$AZ$5,0),SUMPRODUCT($E$9:$N$9+BJ$2*_xlpm.n,$E$23:$N$23))</f>
        <v>0</v>
      </c>
      <c r="BK21" s="29" cm="1">
        <f t="array" ref="BK21">_xlfn.LET(_xlpm.n,IF($AX$5="✔",$AZ$5,0),SUMPRODUCT($E$9:$N$9+BK$2*_xlpm.n,$E$23:$N$23))</f>
        <v>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95"/>
      <c r="F22" s="98"/>
      <c r="G22" s="98"/>
      <c r="H22" s="98"/>
      <c r="I22" s="98"/>
      <c r="J22" s="98"/>
      <c r="K22" s="98"/>
      <c r="L22" s="98"/>
      <c r="M22" s="98"/>
      <c r="N22" s="98"/>
      <c r="Q22" s="90" t="s">
        <v>26</v>
      </c>
      <c r="R22" s="20">
        <f>$E$4*$I$7*$I$8*$I$9</f>
        <v>0</v>
      </c>
      <c r="S22" s="51" t="e">
        <f>SUM($W$41:$W$49)</f>
        <v>#DIV/0!</v>
      </c>
      <c r="T22" s="51" t="e">
        <f>SUM($W$50:$W$55)</f>
        <v>#DIV/0!</v>
      </c>
      <c r="U22" s="51" t="e">
        <f>SUM($W$56:$W$57)</f>
        <v>#DIV/0!</v>
      </c>
      <c r="V22" s="29" t="e">
        <f>MAX(0,W58-W59)</f>
        <v>#DIV/0!</v>
      </c>
      <c r="W22" s="51" t="e">
        <f t="shared" si="35"/>
        <v>#DIV/0!</v>
      </c>
      <c r="AE22" s="27"/>
      <c r="AF22" s="37"/>
      <c r="AG22" s="53" t="s">
        <v>17</v>
      </c>
      <c r="AH22" s="54" t="s">
        <v>112</v>
      </c>
      <c r="AI22" s="55"/>
      <c r="AJ22" s="55">
        <f t="shared" ref="AJ22:AU22" si="40">AJ3*0.09/1.09</f>
        <v>0</v>
      </c>
      <c r="AK22" s="55">
        <f t="shared" si="40"/>
        <v>0</v>
      </c>
      <c r="AL22" s="55">
        <f t="shared" si="40"/>
        <v>0</v>
      </c>
      <c r="AM22" s="55">
        <f t="shared" si="40"/>
        <v>0</v>
      </c>
      <c r="AN22" s="55">
        <f t="shared" si="40"/>
        <v>0</v>
      </c>
      <c r="AO22" s="55">
        <f t="shared" si="40"/>
        <v>0</v>
      </c>
      <c r="AP22" s="55">
        <f t="shared" si="40"/>
        <v>0</v>
      </c>
      <c r="AQ22" s="55">
        <f t="shared" si="40"/>
        <v>0</v>
      </c>
      <c r="AR22" s="55">
        <f t="shared" si="40"/>
        <v>0</v>
      </c>
      <c r="AS22" s="55">
        <f t="shared" si="40"/>
        <v>0</v>
      </c>
      <c r="AT22" s="55">
        <f t="shared" si="40"/>
        <v>0</v>
      </c>
      <c r="AU22" s="55">
        <f t="shared" si="40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95"/>
      <c r="F23" s="98"/>
      <c r="G23" s="98"/>
      <c r="H23" s="98"/>
      <c r="I23" s="98"/>
      <c r="J23" s="98"/>
      <c r="K23" s="98"/>
      <c r="L23" s="98"/>
      <c r="M23" s="98"/>
      <c r="N23" s="98"/>
      <c r="Q23" s="90" t="s">
        <v>27</v>
      </c>
      <c r="R23" s="20">
        <f>$E$4*$J$7*$J$8*$J$9</f>
        <v>0</v>
      </c>
      <c r="S23" s="51" t="e">
        <f>SUM($X$41:$X$49)</f>
        <v>#DIV/0!</v>
      </c>
      <c r="T23" s="51" t="e">
        <f>SUM($X$50:$X$55)</f>
        <v>#DIV/0!</v>
      </c>
      <c r="U23" s="51" t="e">
        <f>SUM($X$56:$X$57)</f>
        <v>#DIV/0!</v>
      </c>
      <c r="V23" s="29" t="e">
        <f>MAX(0,X58-X59)</f>
        <v>#DIV/0!</v>
      </c>
      <c r="W23" s="51" t="e">
        <f t="shared" si="35"/>
        <v>#DIV/0!</v>
      </c>
      <c r="AE23" s="27"/>
      <c r="AF23" s="27"/>
      <c r="AG23" s="28"/>
      <c r="AH23" s="56" t="s">
        <v>115</v>
      </c>
      <c r="AI23" s="57">
        <f>AI4*0.13/1.13</f>
        <v>0</v>
      </c>
      <c r="AJ23" s="57">
        <f t="shared" ref="AJ23:AU23" si="41">(AJ5+AJ18+AJ19)*0.13/1.13+AJ10*0.06/1.06</f>
        <v>0</v>
      </c>
      <c r="AK23" s="57">
        <f t="shared" si="41"/>
        <v>0</v>
      </c>
      <c r="AL23" s="57">
        <f t="shared" si="41"/>
        <v>0</v>
      </c>
      <c r="AM23" s="57">
        <f t="shared" si="41"/>
        <v>0</v>
      </c>
      <c r="AN23" s="57">
        <f t="shared" si="41"/>
        <v>0</v>
      </c>
      <c r="AO23" s="57">
        <f t="shared" si="41"/>
        <v>0</v>
      </c>
      <c r="AP23" s="57">
        <f t="shared" si="41"/>
        <v>0</v>
      </c>
      <c r="AQ23" s="57">
        <f t="shared" si="41"/>
        <v>0</v>
      </c>
      <c r="AR23" s="57">
        <f t="shared" si="41"/>
        <v>0</v>
      </c>
      <c r="AS23" s="57">
        <f t="shared" si="41"/>
        <v>0</v>
      </c>
      <c r="AT23" s="57">
        <f t="shared" si="41"/>
        <v>0</v>
      </c>
      <c r="AU23" s="57">
        <f t="shared" si="41"/>
        <v>0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0</v>
      </c>
      <c r="BB23" s="29" cm="1">
        <f t="array" ref="BB23">_xlfn.LET(_xlpm.n,IF($AX$5="✔",$AZ$5,0),SUMPRODUCT($E$9:$N$9+BB$2*_xlpm.n,$E$25:$N$25))</f>
        <v>0</v>
      </c>
      <c r="BC23" s="29" cm="1">
        <f t="array" ref="BC23">_xlfn.LET(_xlpm.n,IF($AX$5="✔",$AZ$5,0),SUMPRODUCT($E$9:$N$9+BC$2*_xlpm.n,$E$25:$N$25))</f>
        <v>0</v>
      </c>
      <c r="BD23" s="29" cm="1">
        <f t="array" ref="BD23">_xlfn.LET(_xlpm.n,IF($AX$5="✔",$AZ$5,0),SUMPRODUCT($E$9:$N$9+BD$2*_xlpm.n,$E$25:$N$25))</f>
        <v>0</v>
      </c>
      <c r="BE23" s="29" cm="1">
        <f t="array" ref="BE23">_xlfn.LET(_xlpm.n,IF($AX$5="✔",$AZ$5,0),SUMPRODUCT($E$9:$N$9+BE$2*_xlpm.n,$E$25:$N$25))</f>
        <v>0</v>
      </c>
      <c r="BF23" s="29" cm="1">
        <f t="array" ref="BF23">SUMPRODUCT($E$9:$N$9,$E$25:$N$25)</f>
        <v>0</v>
      </c>
      <c r="BG23" s="29" cm="1">
        <f t="array" ref="BG23">_xlfn.LET(_xlpm.n,IF($AX$5="✔",$AZ$5,0),SUMPRODUCT($E$9:$N$9+BG$2*_xlpm.n,$E$25:$N$25))</f>
        <v>0</v>
      </c>
      <c r="BH23" s="29" cm="1">
        <f t="array" ref="BH23">_xlfn.LET(_xlpm.n,IF($AX$5="✔",$AZ$5,0),SUMPRODUCT($E$9:$N$9+BH$2*_xlpm.n,$E$25:$N$25))</f>
        <v>0</v>
      </c>
      <c r="BI23" s="29" cm="1">
        <f t="array" ref="BI23">_xlfn.LET(_xlpm.n,IF($AX$5="✔",$AZ$5,0),SUMPRODUCT($E$9:$N$9+BI$2*_xlpm.n,$E$25:$N$25))</f>
        <v>0</v>
      </c>
      <c r="BJ23" s="29" cm="1">
        <f t="array" ref="BJ23">_xlfn.LET(_xlpm.n,IF($AX$5="✔",$AZ$5,0),SUMPRODUCT($E$9:$N$9+BJ$2*_xlpm.n,$E$25:$N$25))</f>
        <v>0</v>
      </c>
      <c r="BK23" s="29" cm="1">
        <f t="array" ref="BK23">_xlfn.LET(_xlpm.n,IF($AX$5="✔",$AZ$5,0),SUMPRODUCT($E$9:$N$9+BK$2*_xlpm.n,$E$25:$N$25))</f>
        <v>0</v>
      </c>
    </row>
    <row r="24" spans="1:63">
      <c r="A24" s="15"/>
      <c r="B24" s="16" t="s">
        <v>116</v>
      </c>
      <c r="C24" s="17" t="s">
        <v>117</v>
      </c>
      <c r="D24" s="17"/>
      <c r="E24" s="95"/>
      <c r="F24" s="98"/>
      <c r="G24" s="98"/>
      <c r="H24" s="98"/>
      <c r="I24" s="98"/>
      <c r="J24" s="98"/>
      <c r="K24" s="98"/>
      <c r="L24" s="98"/>
      <c r="M24" s="98"/>
      <c r="N24" s="98"/>
      <c r="Q24" s="90" t="s">
        <v>28</v>
      </c>
      <c r="R24" s="20">
        <f>$E$4*$K$7*$K$8*$K$9</f>
        <v>0</v>
      </c>
      <c r="S24" s="51" t="e">
        <f>SUM($Y$41:$Y$49)</f>
        <v>#DIV/0!</v>
      </c>
      <c r="T24" s="51" t="e">
        <f>SUM($Y$50:$Y$55)</f>
        <v>#DIV/0!</v>
      </c>
      <c r="U24" s="51" t="e">
        <f>SUM($Y$56:$Y$57)</f>
        <v>#DIV/0!</v>
      </c>
      <c r="V24" s="29" t="e">
        <f>MAX(0,Y58-Y59)</f>
        <v>#DIV/0!</v>
      </c>
      <c r="W24" s="51" t="e">
        <f t="shared" si="35"/>
        <v>#DIV/0!</v>
      </c>
      <c r="AE24" s="27"/>
      <c r="AF24" s="27"/>
      <c r="AG24" s="22"/>
      <c r="AH24" s="50" t="s">
        <v>118</v>
      </c>
      <c r="AI24" s="24">
        <f t="shared" ref="AI24:AU24" si="42">AI22-AI23</f>
        <v>0</v>
      </c>
      <c r="AJ24" s="24">
        <f t="shared" si="42"/>
        <v>0</v>
      </c>
      <c r="AK24" s="24">
        <f t="shared" si="42"/>
        <v>0</v>
      </c>
      <c r="AL24" s="24">
        <f t="shared" si="42"/>
        <v>0</v>
      </c>
      <c r="AM24" s="24">
        <f t="shared" si="42"/>
        <v>0</v>
      </c>
      <c r="AN24" s="24">
        <f t="shared" si="42"/>
        <v>0</v>
      </c>
      <c r="AO24" s="24">
        <f t="shared" si="42"/>
        <v>0</v>
      </c>
      <c r="AP24" s="24">
        <f t="shared" si="42"/>
        <v>0</v>
      </c>
      <c r="AQ24" s="24">
        <f t="shared" si="42"/>
        <v>0</v>
      </c>
      <c r="AR24" s="24">
        <f t="shared" si="42"/>
        <v>0</v>
      </c>
      <c r="AS24" s="24">
        <f t="shared" si="42"/>
        <v>0</v>
      </c>
      <c r="AT24" s="24">
        <f t="shared" si="42"/>
        <v>0</v>
      </c>
      <c r="AU24" s="24">
        <f t="shared" si="42"/>
        <v>0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0</v>
      </c>
      <c r="BB24" s="29" cm="1">
        <f t="array" ref="BB24">_xlfn.LET(_xlpm.n,IF($AX$5="✔",$AZ$5,0),BB$3*SUMPRODUCT(IF($E$8:$N$8,BB$7,$E$33),$E$6:$N$6,$E$9:$N$9+BB$2*_xlpm.n))</f>
        <v>0</v>
      </c>
      <c r="BC24" s="29" cm="1">
        <f t="array" ref="BC24">_xlfn.LET(_xlpm.n,IF($AX$5="✔",$AZ$5,0),BC$3*SUMPRODUCT(IF($E$8:$N$8,BC$7,$E$33),$E$6:$N$6,$E$9:$N$9+BC$2*_xlpm.n))</f>
        <v>0</v>
      </c>
      <c r="BD24" s="29" cm="1">
        <f t="array" ref="BD24">_xlfn.LET(_xlpm.n,IF($AX$5="✔",$AZ$5,0),BD$3*SUMPRODUCT(IF($E$8:$N$8,BD$7,$E$33),$E$6:$N$6,$E$9:$N$9+BD$2*_xlpm.n))</f>
        <v>0</v>
      </c>
      <c r="BE24" s="29" cm="1">
        <f t="array" ref="BE24">_xlfn.LET(_xlpm.n,IF($AX$5="✔",$AZ$5,0),BE$3*SUMPRODUCT(IF($E$8:$N$8,BE$7,$E$33),$E$6:$N$6,$E$9:$N$9+BE$2*_xlpm.n))</f>
        <v>0</v>
      </c>
      <c r="BF24" s="29" cm="1">
        <f t="array" ref="BF24">$E$5*SUMPRODUCT(IF($E$8:$N$8,$E$32,$E$33),$E$6:$N$6,$E$9:$N$9)</f>
        <v>0</v>
      </c>
      <c r="BG24" s="29" cm="1">
        <f t="array" ref="BG24">_xlfn.LET(_xlpm.n,IF($AX$5="✔",$AZ$5,0),BG$3*SUMPRODUCT(IF($E$8:$N$8,BG$7,$E$33),$E$6:$N$6,$E$9:$N$9+BG$2*_xlpm.n))</f>
        <v>0</v>
      </c>
      <c r="BH24" s="29" cm="1">
        <f t="array" ref="BH24">_xlfn.LET(_xlpm.n,IF($AX$5="✔",$AZ$5,0),BH$3*SUMPRODUCT(IF($E$8:$N$8,BH$7,$E$33),$E$6:$N$6,$E$9:$N$9+BH$2*_xlpm.n))</f>
        <v>0</v>
      </c>
      <c r="BI24" s="29" cm="1">
        <f t="array" ref="BI24">_xlfn.LET(_xlpm.n,IF($AX$5="✔",$AZ$5,0),BI$3*SUMPRODUCT(IF($E$8:$N$8,BI$7,$E$33),$E$6:$N$6,$E$9:$N$9+BI$2*_xlpm.n))</f>
        <v>0</v>
      </c>
      <c r="BJ24" s="29" cm="1">
        <f t="array" ref="BJ24">_xlfn.LET(_xlpm.n,IF($AX$5="✔",$AZ$5,0),BJ$3*SUMPRODUCT(IF($E$8:$N$8,BJ$7,$E$33),$E$6:$N$6,$E$9:$N$9+BJ$2*_xlpm.n))</f>
        <v>0</v>
      </c>
      <c r="BK24" s="29" cm="1">
        <f t="array" ref="BK24">_xlfn.LET(_xlpm.n,IF($AX$5="✔",$AZ$5,0),BK$3*SUMPRODUCT(IF($E$8:$N$8,BK$7,$E$33),$E$6:$N$6,$E$9:$N$9+BK$2*_xlpm.n))</f>
        <v>0</v>
      </c>
    </row>
    <row r="25" ht="16.5" spans="1:63">
      <c r="A25" s="15"/>
      <c r="B25" s="16" t="s">
        <v>119</v>
      </c>
      <c r="C25" s="17" t="s">
        <v>120</v>
      </c>
      <c r="D25" s="17"/>
      <c r="E25" s="95"/>
      <c r="F25" s="98"/>
      <c r="G25" s="98"/>
      <c r="H25" s="98"/>
      <c r="I25" s="98"/>
      <c r="J25" s="98"/>
      <c r="K25" s="98"/>
      <c r="L25" s="98"/>
      <c r="M25" s="98"/>
      <c r="N25" s="98"/>
      <c r="Q25" s="90" t="s">
        <v>29</v>
      </c>
      <c r="R25" s="20">
        <f>$E$4*$L$7*$L$8*$L$9</f>
        <v>0</v>
      </c>
      <c r="S25" s="51" t="e">
        <f>SUM($Z$41:$Z$49)</f>
        <v>#DIV/0!</v>
      </c>
      <c r="T25" s="51" t="e">
        <f>SUM($Z$50:$Z$55)</f>
        <v>#DIV/0!</v>
      </c>
      <c r="U25" s="51" t="e">
        <f>SUM($Z$56:$Z$57)</f>
        <v>#DIV/0!</v>
      </c>
      <c r="V25" s="29" t="e">
        <f>MAX(0,Z58-Z59)</f>
        <v>#DIV/0!</v>
      </c>
      <c r="W25" s="51" t="e">
        <f t="shared" si="35"/>
        <v>#DIV/0!</v>
      </c>
      <c r="AE25" s="33"/>
      <c r="AF25" s="33"/>
      <c r="AG25" s="48" t="s">
        <v>121</v>
      </c>
      <c r="AH25" s="48"/>
      <c r="AI25" s="58">
        <f>-AI4+AI24</f>
        <v>0</v>
      </c>
      <c r="AJ25" s="58">
        <f t="shared" ref="AJ25:AU25" si="43">AJ3-SUM(AJ5:AJ21)-AJ24</f>
        <v>0</v>
      </c>
      <c r="AK25" s="58">
        <f t="shared" si="43"/>
        <v>0</v>
      </c>
      <c r="AL25" s="58">
        <f t="shared" si="43"/>
        <v>0</v>
      </c>
      <c r="AM25" s="58">
        <f t="shared" si="43"/>
        <v>0</v>
      </c>
      <c r="AN25" s="58">
        <f t="shared" si="43"/>
        <v>0</v>
      </c>
      <c r="AO25" s="58">
        <f t="shared" si="43"/>
        <v>0</v>
      </c>
      <c r="AP25" s="58">
        <f t="shared" si="43"/>
        <v>0</v>
      </c>
      <c r="AQ25" s="58">
        <f t="shared" si="43"/>
        <v>0</v>
      </c>
      <c r="AR25" s="58">
        <f t="shared" si="43"/>
        <v>0</v>
      </c>
      <c r="AS25" s="58">
        <f t="shared" si="43"/>
        <v>0</v>
      </c>
      <c r="AT25" s="58">
        <f t="shared" si="43"/>
        <v>0</v>
      </c>
      <c r="AU25" s="58">
        <f t="shared" si="43"/>
        <v>0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0</v>
      </c>
      <c r="BB25" s="24" cm="1">
        <f t="array" ref="BB25">_xlfn.LET(_xlpm.n,IF($AX$5="✔",$AZ$5,0),SUMPRODUCT($E$6:$N$6,$E$9:$N$9+BB$2*_xlpm.n)/$E$29*$E$30*$E$31)</f>
        <v>0</v>
      </c>
      <c r="BC25" s="24" cm="1">
        <f t="array" ref="BC25">_xlfn.LET(_xlpm.n,IF($AX$5="✔",$AZ$5,0),SUMPRODUCT($E$6:$N$6,$E$9:$N$9+BC$2*_xlpm.n)/$E$29*$E$30*$E$31)</f>
        <v>0</v>
      </c>
      <c r="BD25" s="24" cm="1">
        <f t="array" ref="BD25">_xlfn.LET(_xlpm.n,IF($AX$5="✔",$AZ$5,0),SUMPRODUCT($E$6:$N$6,$E$9:$N$9+BD$2*_xlpm.n)/$E$29*$E$30*$E$31)</f>
        <v>0</v>
      </c>
      <c r="BE25" s="24" cm="1">
        <f t="array" ref="BE25">_xlfn.LET(_xlpm.n,IF($AX$5="✔",$AZ$5,0),SUMPRODUCT($E$6:$N$6,$E$9:$N$9+BE$2*_xlpm.n)/$E$29*$E$30*$E$31)</f>
        <v>0</v>
      </c>
      <c r="BF25" s="24" cm="1">
        <f t="array" ref="BF25">SUMPRODUCT($E$6:$N$6,$E$9:$N$9)/$E$29*$E$30*$E$31</f>
        <v>0</v>
      </c>
      <c r="BG25" s="24" cm="1">
        <f t="array" ref="BG25">_xlfn.LET(_xlpm.n,IF($AX$5="✔",$AZ$5,0),SUMPRODUCT($E$6:$N$6,$E$9:$N$9+BG$2*_xlpm.n)/$E$29*$E$30*$E$31)</f>
        <v>0</v>
      </c>
      <c r="BH25" s="24" cm="1">
        <f t="array" ref="BH25">_xlfn.LET(_xlpm.n,IF($AX$5="✔",$AZ$5,0),SUMPRODUCT($E$6:$N$6,$E$9:$N$9+BH$2*_xlpm.n)/$E$29*$E$30*$E$31)</f>
        <v>0</v>
      </c>
      <c r="BI25" s="24" cm="1">
        <f t="array" ref="BI25">_xlfn.LET(_xlpm.n,IF($AX$5="✔",$AZ$5,0),SUMPRODUCT($E$6:$N$6,$E$9:$N$9+BI$2*_xlpm.n)/$E$29*$E$30*$E$31)</f>
        <v>0</v>
      </c>
      <c r="BJ25" s="24" cm="1">
        <f t="array" ref="BJ25">_xlfn.LET(_xlpm.n,IF($AX$5="✔",$AZ$5,0),SUMPRODUCT($E$6:$N$6,$E$9:$N$9+BJ$2*_xlpm.n)/$E$29*$E$30*$E$31)</f>
        <v>0</v>
      </c>
      <c r="BK25" s="24" cm="1">
        <f t="array" ref="BK25">_xlfn.LET(_xlpm.n,IF($AX$5="✔",$AZ$5,0),SUMPRODUCT($E$6:$N$6,$E$9:$N$9+BK$2*_xlpm.n)/$E$29*$E$30*$E$31)</f>
        <v>0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89"/>
      <c r="F26" s="89"/>
      <c r="G26" s="89"/>
      <c r="H26" s="89"/>
      <c r="I26" s="89"/>
      <c r="J26" s="89"/>
      <c r="K26" s="89"/>
      <c r="L26" s="89"/>
      <c r="M26" s="89"/>
      <c r="N26" s="89"/>
      <c r="Q26" s="90" t="s">
        <v>30</v>
      </c>
      <c r="R26" s="20">
        <f>$E$4*$M$7*$M$8*$M$9</f>
        <v>0</v>
      </c>
      <c r="S26" s="51" t="e">
        <f>SUM($Z$41:$Z$49)</f>
        <v>#DIV/0!</v>
      </c>
      <c r="T26" s="51" t="e">
        <f>SUM($AA$50:$AA$55)</f>
        <v>#DIV/0!</v>
      </c>
      <c r="U26" s="51" t="e">
        <f>SUM($AA$56:$AA$57)</f>
        <v>#DIV/0!</v>
      </c>
      <c r="V26" s="29" t="e">
        <f>MAX(0,AA58-AA59)</f>
        <v>#DIV/0!</v>
      </c>
      <c r="W26" s="51" t="e">
        <f t="shared" si="35"/>
        <v>#DIV/0!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0</v>
      </c>
      <c r="AK26" s="58">
        <f>SUM($AI$25:AK25)</f>
        <v>0</v>
      </c>
      <c r="AL26" s="58">
        <f>SUM($AI$25:AL25)</f>
        <v>0</v>
      </c>
      <c r="AM26" s="58">
        <f>SUM($AI$25:AM25)</f>
        <v>0</v>
      </c>
      <c r="AN26" s="58">
        <f>SUM($AI$25:AN25)</f>
        <v>0</v>
      </c>
      <c r="AO26" s="58">
        <f>SUM($AI$25:AO25)</f>
        <v>0</v>
      </c>
      <c r="AP26" s="58">
        <f>SUM($AI$25:AP25)</f>
        <v>0</v>
      </c>
      <c r="AQ26" s="58">
        <f>SUM($AI$25:AQ25)</f>
        <v>0</v>
      </c>
      <c r="AR26" s="58">
        <f>SUM($AI$25:AR25)</f>
        <v>0</v>
      </c>
      <c r="AS26" s="58">
        <f>SUM($AI$25:AS25)</f>
        <v>0</v>
      </c>
      <c r="AT26" s="58">
        <f>SUM($AI$25:AT25)</f>
        <v>0</v>
      </c>
      <c r="AU26" s="58">
        <f>SUM($AI$25:AU25)</f>
        <v>0</v>
      </c>
      <c r="AX26" s="28" t="s">
        <v>16</v>
      </c>
      <c r="AY26" s="28"/>
      <c r="AZ26" s="35" t="s">
        <v>106</v>
      </c>
      <c r="BA26" s="29">
        <f t="shared" ref="BA26:BK26" si="44">BA9*$E$34/12*$E$26</f>
        <v>0</v>
      </c>
      <c r="BB26" s="29">
        <f t="shared" si="44"/>
        <v>0</v>
      </c>
      <c r="BC26" s="29">
        <f t="shared" si="44"/>
        <v>0</v>
      </c>
      <c r="BD26" s="29">
        <f t="shared" si="44"/>
        <v>0</v>
      </c>
      <c r="BE26" s="29">
        <f t="shared" si="44"/>
        <v>0</v>
      </c>
      <c r="BF26" s="29">
        <f t="shared" si="44"/>
        <v>0</v>
      </c>
      <c r="BG26" s="29">
        <f t="shared" si="44"/>
        <v>0</v>
      </c>
      <c r="BH26" s="29">
        <f t="shared" si="44"/>
        <v>0</v>
      </c>
      <c r="BI26" s="29">
        <f t="shared" si="44"/>
        <v>0</v>
      </c>
      <c r="BJ26" s="29">
        <f t="shared" si="44"/>
        <v>0</v>
      </c>
      <c r="BK26" s="29">
        <f t="shared" si="44"/>
        <v>0</v>
      </c>
    </row>
    <row r="27" spans="1:63">
      <c r="A27" s="15"/>
      <c r="B27" s="16" t="s">
        <v>125</v>
      </c>
      <c r="C27" s="17" t="s">
        <v>126</v>
      </c>
      <c r="D27" s="17"/>
      <c r="E27" s="89">
        <v>1</v>
      </c>
      <c r="F27" s="89"/>
      <c r="G27" s="89"/>
      <c r="H27" s="89"/>
      <c r="I27" s="89"/>
      <c r="J27" s="89"/>
      <c r="K27" s="89"/>
      <c r="L27" s="89"/>
      <c r="M27" s="89"/>
      <c r="N27" s="89"/>
      <c r="Q27" s="90" t="s">
        <v>31</v>
      </c>
      <c r="R27" s="20">
        <f>$E$4*$N$7*$N$8*$N$9</f>
        <v>0</v>
      </c>
      <c r="S27" s="51" t="e">
        <f>SUM($AB$41:$AB$49)</f>
        <v>#DIV/0!</v>
      </c>
      <c r="T27" s="51" t="e">
        <f>SUM($AB$50:$AB$55)</f>
        <v>#DIV/0!</v>
      </c>
      <c r="U27" s="51" t="e">
        <f>SUM($AB$56:$AB$57)</f>
        <v>#DIV/0!</v>
      </c>
      <c r="V27" s="29" t="e">
        <f>MAX(0,AB58-AB59)</f>
        <v>#DIV/0!</v>
      </c>
      <c r="W27" s="51" t="e">
        <f t="shared" si="35"/>
        <v>#DIV/0!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 t="e">
        <f t="shared" ref="BA27:BE27" si="45">(BA$6*12/$E$10+SUM(BA12:BA25))*$E$35/12*$E$27</f>
        <v>#DIV/0!</v>
      </c>
      <c r="BB27" s="29" t="e">
        <f t="shared" si="45"/>
        <v>#DIV/0!</v>
      </c>
      <c r="BC27" s="29" t="e">
        <f t="shared" si="45"/>
        <v>#DIV/0!</v>
      </c>
      <c r="BD27" s="29" t="e">
        <f t="shared" si="45"/>
        <v>#DIV/0!</v>
      </c>
      <c r="BE27" s="29" t="e">
        <f t="shared" si="45"/>
        <v>#DIV/0!</v>
      </c>
      <c r="BF27" s="29" t="e">
        <f>($E$13*12/$E$10+SUM(BF12:BF25))*$E$35/12*$E$27</f>
        <v>#DIV/0!</v>
      </c>
      <c r="BG27" s="29" t="e">
        <f t="shared" ref="BG27:BK27" si="46">(BG$6*12/$E$10+SUM(BG12:BG25))*$E$35/12*$E$27</f>
        <v>#DIV/0!</v>
      </c>
      <c r="BH27" s="29" t="e">
        <f t="shared" si="46"/>
        <v>#DIV/0!</v>
      </c>
      <c r="BI27" s="29" t="e">
        <f t="shared" si="46"/>
        <v>#DIV/0!</v>
      </c>
      <c r="BJ27" s="29" t="e">
        <f t="shared" si="46"/>
        <v>#DIV/0!</v>
      </c>
      <c r="BK27" s="29" t="e">
        <f t="shared" si="46"/>
        <v>#DIV/0!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99">
        <v>60</v>
      </c>
      <c r="F28" s="99"/>
      <c r="G28" s="99"/>
      <c r="H28" s="99"/>
      <c r="I28" s="99"/>
      <c r="J28" s="99"/>
      <c r="K28" s="99"/>
      <c r="L28" s="99"/>
      <c r="M28" s="99"/>
      <c r="N28" s="99"/>
      <c r="Q28" s="48" t="s">
        <v>84</v>
      </c>
      <c r="R28" s="49">
        <f t="shared" ref="R28:V28" si="47">SUM(R18:R27)</f>
        <v>0</v>
      </c>
      <c r="S28" s="49" t="e">
        <f t="shared" si="47"/>
        <v>#DIV/0!</v>
      </c>
      <c r="T28" s="49" t="e">
        <f t="shared" si="47"/>
        <v>#DIV/0!</v>
      </c>
      <c r="U28" s="49" t="e">
        <f t="shared" si="47"/>
        <v>#DIV/0!</v>
      </c>
      <c r="V28" s="49" t="e">
        <f t="shared" si="47"/>
        <v>#DIV/0!</v>
      </c>
      <c r="W28" s="49" t="e">
        <f t="shared" si="35"/>
        <v>#DIV/0!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K28" si="48">BA9*0.09/1.09</f>
        <v>0</v>
      </c>
      <c r="BB28" s="55">
        <f t="shared" si="48"/>
        <v>0</v>
      </c>
      <c r="BC28" s="55">
        <f t="shared" si="48"/>
        <v>0</v>
      </c>
      <c r="BD28" s="55">
        <f t="shared" si="48"/>
        <v>0</v>
      </c>
      <c r="BE28" s="55">
        <f t="shared" si="48"/>
        <v>0</v>
      </c>
      <c r="BF28" s="55">
        <f t="shared" si="48"/>
        <v>0</v>
      </c>
      <c r="BG28" s="55">
        <f t="shared" si="48"/>
        <v>0</v>
      </c>
      <c r="BH28" s="55">
        <f t="shared" si="48"/>
        <v>0</v>
      </c>
      <c r="BI28" s="55">
        <f t="shared" si="48"/>
        <v>0</v>
      </c>
      <c r="BJ28" s="55">
        <f t="shared" si="48"/>
        <v>0</v>
      </c>
      <c r="BK28" s="55">
        <f t="shared" si="48"/>
        <v>0</v>
      </c>
    </row>
    <row r="29" spans="1:63">
      <c r="A29" s="60"/>
      <c r="B29" s="61" t="s">
        <v>131</v>
      </c>
      <c r="C29" s="62" t="s">
        <v>132</v>
      </c>
      <c r="D29" s="62"/>
      <c r="E29" s="99">
        <v>80000</v>
      </c>
      <c r="F29" s="99"/>
      <c r="G29" s="99"/>
      <c r="H29" s="99"/>
      <c r="I29" s="99"/>
      <c r="J29" s="99"/>
      <c r="K29" s="99"/>
      <c r="L29" s="99"/>
      <c r="M29" s="99"/>
      <c r="N29" s="99"/>
      <c r="Q29" s="1" t="s">
        <v>133</v>
      </c>
      <c r="R29" s="1"/>
      <c r="AX29" s="28"/>
      <c r="AY29" s="28"/>
      <c r="AZ29" s="66" t="s">
        <v>115</v>
      </c>
      <c r="BA29" s="57" t="e">
        <f t="shared" ref="BA29:BK29" si="49">(BA11+BA24+BA25)*0.13/1.13+BA16*0.06/1.06</f>
        <v>#DIV/0!</v>
      </c>
      <c r="BB29" s="57" t="e">
        <f t="shared" si="49"/>
        <v>#DIV/0!</v>
      </c>
      <c r="BC29" s="57" t="e">
        <f t="shared" si="49"/>
        <v>#DIV/0!</v>
      </c>
      <c r="BD29" s="57" t="e">
        <f t="shared" si="49"/>
        <v>#DIV/0!</v>
      </c>
      <c r="BE29" s="57" t="e">
        <f t="shared" si="49"/>
        <v>#DIV/0!</v>
      </c>
      <c r="BF29" s="57" t="e">
        <f t="shared" si="49"/>
        <v>#DIV/0!</v>
      </c>
      <c r="BG29" s="57" t="e">
        <f t="shared" si="49"/>
        <v>#DIV/0!</v>
      </c>
      <c r="BH29" s="57" t="e">
        <f t="shared" si="49"/>
        <v>#DIV/0!</v>
      </c>
      <c r="BI29" s="57" t="e">
        <f t="shared" si="49"/>
        <v>#DIV/0!</v>
      </c>
      <c r="BJ29" s="57" t="e">
        <f t="shared" si="49"/>
        <v>#DIV/0!</v>
      </c>
      <c r="BK29" s="57" t="e">
        <f t="shared" si="49"/>
        <v>#DIV/0!</v>
      </c>
    </row>
    <row r="30" spans="1:63">
      <c r="A30" s="60"/>
      <c r="B30" s="61" t="s">
        <v>134</v>
      </c>
      <c r="C30" s="62" t="s">
        <v>135</v>
      </c>
      <c r="D30" s="62"/>
      <c r="E30" s="99">
        <v>22</v>
      </c>
      <c r="F30" s="99"/>
      <c r="G30" s="99"/>
      <c r="H30" s="99"/>
      <c r="I30" s="99"/>
      <c r="J30" s="99"/>
      <c r="K30" s="99"/>
      <c r="L30" s="99"/>
      <c r="M30" s="99"/>
      <c r="N30" s="99"/>
      <c r="AE30" s="67"/>
      <c r="AF30" s="67"/>
      <c r="AX30" s="22"/>
      <c r="AY30" s="22"/>
      <c r="AZ30" s="23" t="s">
        <v>118</v>
      </c>
      <c r="BA30" s="24" t="e">
        <f t="shared" ref="BA30:BK30" si="50">MAX(0,BA28-BA29)</f>
        <v>#DIV/0!</v>
      </c>
      <c r="BB30" s="24" t="e">
        <f t="shared" si="50"/>
        <v>#DIV/0!</v>
      </c>
      <c r="BC30" s="24" t="e">
        <f t="shared" si="50"/>
        <v>#DIV/0!</v>
      </c>
      <c r="BD30" s="24" t="e">
        <f t="shared" si="50"/>
        <v>#DIV/0!</v>
      </c>
      <c r="BE30" s="24" t="e">
        <f t="shared" si="50"/>
        <v>#DIV/0!</v>
      </c>
      <c r="BF30" s="24" t="e">
        <f t="shared" si="50"/>
        <v>#DIV/0!</v>
      </c>
      <c r="BG30" s="24" t="e">
        <f t="shared" si="50"/>
        <v>#DIV/0!</v>
      </c>
      <c r="BH30" s="24" t="e">
        <f t="shared" si="50"/>
        <v>#DIV/0!</v>
      </c>
      <c r="BI30" s="24" t="e">
        <f t="shared" si="50"/>
        <v>#DIV/0!</v>
      </c>
      <c r="BJ30" s="24" t="e">
        <f t="shared" si="50"/>
        <v>#DIV/0!</v>
      </c>
      <c r="BK30" s="24" t="e">
        <f t="shared" si="50"/>
        <v>#DIV/0!</v>
      </c>
    </row>
    <row r="31" ht="16.5" spans="1:63">
      <c r="A31" s="60"/>
      <c r="B31" s="61" t="s">
        <v>136</v>
      </c>
      <c r="C31" s="62" t="s">
        <v>137</v>
      </c>
      <c r="D31" s="62"/>
      <c r="E31" s="99">
        <v>1100</v>
      </c>
      <c r="F31" s="99"/>
      <c r="G31" s="99"/>
      <c r="H31" s="99"/>
      <c r="I31" s="99"/>
      <c r="J31" s="99"/>
      <c r="K31" s="99"/>
      <c r="L31" s="99"/>
      <c r="M31" s="99"/>
      <c r="N31" s="99"/>
      <c r="AE31" s="29"/>
      <c r="AF31" s="29"/>
      <c r="AX31" s="44" t="s">
        <v>138</v>
      </c>
      <c r="AY31" s="44"/>
      <c r="AZ31" s="44"/>
      <c r="BA31" s="45" t="e">
        <f t="shared" ref="BA31:BK31" si="51">SUM(BA11:BA27)+MAX(0,BA28-BA29)</f>
        <v>#DIV/0!</v>
      </c>
      <c r="BB31" s="45" t="e">
        <f t="shared" si="51"/>
        <v>#DIV/0!</v>
      </c>
      <c r="BC31" s="45" t="e">
        <f t="shared" si="51"/>
        <v>#DIV/0!</v>
      </c>
      <c r="BD31" s="45" t="e">
        <f t="shared" si="51"/>
        <v>#DIV/0!</v>
      </c>
      <c r="BE31" s="45" t="e">
        <f t="shared" si="51"/>
        <v>#DIV/0!</v>
      </c>
      <c r="BF31" s="45" t="e">
        <f t="shared" si="51"/>
        <v>#DIV/0!</v>
      </c>
      <c r="BG31" s="45" t="e">
        <f t="shared" si="51"/>
        <v>#DIV/0!</v>
      </c>
      <c r="BH31" s="45" t="e">
        <f t="shared" si="51"/>
        <v>#DIV/0!</v>
      </c>
      <c r="BI31" s="45" t="e">
        <f t="shared" si="51"/>
        <v>#DIV/0!</v>
      </c>
      <c r="BJ31" s="45" t="e">
        <f t="shared" si="51"/>
        <v>#DIV/0!</v>
      </c>
      <c r="BK31" s="45" t="e">
        <f t="shared" si="51"/>
        <v>#DIV/0!</v>
      </c>
    </row>
    <row r="32" ht="16.5" spans="1:63">
      <c r="A32" s="60"/>
      <c r="B32" s="61" t="s">
        <v>65</v>
      </c>
      <c r="C32" s="62" t="s">
        <v>139</v>
      </c>
      <c r="D32" s="62"/>
      <c r="E32" s="99">
        <v>1.6</v>
      </c>
      <c r="F32" s="99"/>
      <c r="G32" s="99"/>
      <c r="H32" s="99"/>
      <c r="I32" s="99"/>
      <c r="J32" s="99"/>
      <c r="K32" s="99"/>
      <c r="L32" s="99"/>
      <c r="M32" s="99"/>
      <c r="N32" s="99"/>
      <c r="Q32" s="28"/>
      <c r="AE32" s="29"/>
      <c r="AF32" s="29"/>
      <c r="AX32" s="68" t="s">
        <v>140</v>
      </c>
      <c r="AY32" s="69"/>
      <c r="AZ32" s="69"/>
      <c r="BA32" s="70" t="e">
        <f t="shared" ref="BA32:BK32" si="52">BA9-BA31</f>
        <v>#DIV/0!</v>
      </c>
      <c r="BB32" s="70" t="e">
        <f t="shared" si="52"/>
        <v>#DIV/0!</v>
      </c>
      <c r="BC32" s="70" t="e">
        <f t="shared" si="52"/>
        <v>#DIV/0!</v>
      </c>
      <c r="BD32" s="70" t="e">
        <f t="shared" si="52"/>
        <v>#DIV/0!</v>
      </c>
      <c r="BE32" s="70" t="e">
        <f t="shared" si="52"/>
        <v>#DIV/0!</v>
      </c>
      <c r="BF32" s="70" t="e">
        <f t="shared" si="52"/>
        <v>#DIV/0!</v>
      </c>
      <c r="BG32" s="70" t="e">
        <f t="shared" si="52"/>
        <v>#DIV/0!</v>
      </c>
      <c r="BH32" s="70" t="e">
        <f t="shared" si="52"/>
        <v>#DIV/0!</v>
      </c>
      <c r="BI32" s="70" t="e">
        <f t="shared" si="52"/>
        <v>#DIV/0!</v>
      </c>
      <c r="BJ32" s="70" t="e">
        <f t="shared" si="52"/>
        <v>#DIV/0!</v>
      </c>
      <c r="BK32" s="70" t="e">
        <f t="shared" si="52"/>
        <v>#DIV/0!</v>
      </c>
    </row>
    <row r="33" spans="1:63">
      <c r="A33" s="60"/>
      <c r="B33" s="61" t="s">
        <v>141</v>
      </c>
      <c r="C33" s="62" t="s">
        <v>142</v>
      </c>
      <c r="D33" s="62"/>
      <c r="E33" s="99">
        <v>1.1</v>
      </c>
      <c r="F33" s="99"/>
      <c r="G33" s="99"/>
      <c r="H33" s="99"/>
      <c r="I33" s="99"/>
      <c r="J33" s="99"/>
      <c r="K33" s="99"/>
      <c r="L33" s="99"/>
      <c r="M33" s="99"/>
      <c r="N33" s="99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100">
        <v>0.04</v>
      </c>
      <c r="F34" s="100"/>
      <c r="G34" s="100"/>
      <c r="H34" s="100"/>
      <c r="I34" s="100"/>
      <c r="J34" s="100"/>
      <c r="K34" s="100"/>
      <c r="L34" s="100"/>
      <c r="M34" s="100"/>
      <c r="N34" s="100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101">
        <v>0.07</v>
      </c>
      <c r="F35" s="101"/>
      <c r="G35" s="101"/>
      <c r="H35" s="101"/>
      <c r="I35" s="101"/>
      <c r="J35" s="101"/>
      <c r="K35" s="101"/>
      <c r="L35" s="101"/>
      <c r="M35" s="101"/>
      <c r="N35" s="101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8" t="s">
        <v>20</v>
      </c>
      <c r="T38" s="88" t="s">
        <v>22</v>
      </c>
      <c r="U38" s="88" t="s">
        <v>24</v>
      </c>
      <c r="V38" s="88" t="s">
        <v>25</v>
      </c>
      <c r="W38" s="88" t="s">
        <v>26</v>
      </c>
      <c r="X38" s="88" t="s">
        <v>27</v>
      </c>
      <c r="Y38" s="88" t="s">
        <v>28</v>
      </c>
      <c r="Z38" s="88" t="s">
        <v>29</v>
      </c>
      <c r="AA38" s="88" t="s">
        <v>30</v>
      </c>
      <c r="AB38" s="8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53">$E$4*E$7*E$8*E$9</f>
        <v>0</v>
      </c>
      <c r="T39" s="20">
        <f t="shared" si="53"/>
        <v>0</v>
      </c>
      <c r="U39" s="20">
        <f t="shared" si="53"/>
        <v>0</v>
      </c>
      <c r="V39" s="20">
        <f t="shared" si="53"/>
        <v>0</v>
      </c>
      <c r="W39" s="20">
        <f t="shared" si="53"/>
        <v>0</v>
      </c>
      <c r="X39" s="20">
        <f t="shared" si="53"/>
        <v>0</v>
      </c>
      <c r="Y39" s="20">
        <f t="shared" si="53"/>
        <v>0</v>
      </c>
      <c r="Z39" s="20">
        <f t="shared" si="53"/>
        <v>0</v>
      </c>
      <c r="AA39" s="20">
        <f t="shared" si="53"/>
        <v>0</v>
      </c>
      <c r="AB39" s="20">
        <f t="shared" si="53"/>
        <v>0</v>
      </c>
      <c r="AC39" s="29" cm="1">
        <f t="array" ref="AC39">$E$4*(SUMPRODUCT($E$7:$N$7,$E$8:$N$8,$E$9:$N$9))</f>
        <v>0</v>
      </c>
      <c r="AD39" s="27" t="e">
        <f>AC39/$AC$40</f>
        <v>#DIV/0!</v>
      </c>
      <c r="AE39" s="29"/>
      <c r="AF39" s="73"/>
      <c r="AG39" s="22" t="s">
        <v>13</v>
      </c>
      <c r="AH39" s="23" t="s">
        <v>49</v>
      </c>
      <c r="AI39" s="23"/>
      <c r="AJ39" s="24" t="str" cm="1">
        <f t="array" ref="AJ39">IF($E$3="纯租赁",IF(AJ38*12&lt;=$E$12,$E$4*SUMPRODUCT($E$7:$N$7,$E$8:$N$8,$E$9:$N$9)*$E$10,""),IF(AJ38*12&lt;=$E$28,$E$4*SUMPRODUCT($E$7:$N$7,$E$8:$N$8,$E$9:$N$9)*$E$10,""))</f>
        <v/>
      </c>
      <c r="AK39" s="24" t="str" cm="1">
        <f t="array" ref="AK39">IF($E$3="纯租赁",IF(AK38*12&lt;=$E$12,$E$4*SUMPRODUCT($E$7:$N$7,$E$8:$N$8,$E$9:$N$9)*$E$10,""),IF(AK38*12&lt;=$E$28,$E$4*SUMPRODUCT($E$7:$N$7,$E$8:$N$8,$E$9:$N$9)*$E$10,""))</f>
        <v/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54">S39</f>
        <v>0</v>
      </c>
      <c r="T40" s="76">
        <f t="shared" si="54"/>
        <v>0</v>
      </c>
      <c r="U40" s="76">
        <f t="shared" si="54"/>
        <v>0</v>
      </c>
      <c r="V40" s="76">
        <f t="shared" si="54"/>
        <v>0</v>
      </c>
      <c r="W40" s="76">
        <f t="shared" si="54"/>
        <v>0</v>
      </c>
      <c r="X40" s="76">
        <f t="shared" si="54"/>
        <v>0</v>
      </c>
      <c r="Y40" s="76">
        <f t="shared" si="54"/>
        <v>0</v>
      </c>
      <c r="Z40" s="76">
        <f t="shared" si="54"/>
        <v>0</v>
      </c>
      <c r="AA40" s="76">
        <f t="shared" si="54"/>
        <v>0</v>
      </c>
      <c r="AB40" s="76">
        <f t="shared" si="54"/>
        <v>0</v>
      </c>
      <c r="AC40" s="77">
        <f t="shared" si="54"/>
        <v>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t="e" cm="1">
        <f t="array" ref="S41">$AC41*E$6*E$9/(SUMPRODUCT($E$6:$N$6,$E$9:$N$9))</f>
        <v>#DIV/0!</v>
      </c>
      <c r="T41" s="29" t="e" cm="1">
        <f t="array" ref="T41">$AC41*F$6*F$9/(SUMPRODUCT($E$6:$N$6,$E$9:$N$9))</f>
        <v>#DIV/0!</v>
      </c>
      <c r="U41" s="29" t="e" cm="1">
        <f t="array" ref="U41">$AC41*G$6*G$9/(SUMPRODUCT($E$6:$N$6,$E$9:$N$9))</f>
        <v>#DIV/0!</v>
      </c>
      <c r="V41" s="29" t="e" cm="1">
        <f t="array" ref="V41">$AC41*H$6*H$9/(SUMPRODUCT($E$6:$N$6,$E$9:$N$9))</f>
        <v>#DIV/0!</v>
      </c>
      <c r="W41" s="29" t="e" cm="1">
        <f t="array" ref="W41">$AC41*I$6*I$9/(SUMPRODUCT($E$6:$N$6,$E$9:$N$9))</f>
        <v>#DIV/0!</v>
      </c>
      <c r="X41" s="29" t="e" cm="1">
        <f t="array" ref="X41">$AC41*J$6*J$9/(SUMPRODUCT($E$6:$N$6,$E$9:$N$9))</f>
        <v>#DIV/0!</v>
      </c>
      <c r="Y41" s="29" t="e" cm="1">
        <f t="array" ref="Y41">$AC41*K$6*K$9/(SUMPRODUCT($E$6:$N$6,$E$9:$N$9))</f>
        <v>#DIV/0!</v>
      </c>
      <c r="Z41" s="29" t="e" cm="1">
        <f t="array" ref="Z41">$AC41*L$6*L$9/(SUMPRODUCT($E$6:$N$6,$E$9:$N$9))</f>
        <v>#DIV/0!</v>
      </c>
      <c r="AA41" s="29" t="e" cm="1">
        <f t="array" ref="AA41">$AC41*M$6*M$9/(SUMPRODUCT($E$6:$N$6,$E$9:$N$9))</f>
        <v>#DIV/0!</v>
      </c>
      <c r="AB41" s="29" t="e" cm="1">
        <f t="array" ref="AB41">$AC41*N$6*N$9/(SUMPRODUCT($E$6:$N$6,$E$9:$N$9))</f>
        <v>#DIV/0!</v>
      </c>
      <c r="AC41" s="29" t="e">
        <f>IF($E$3="纯租赁",$E$4*$E$13*12/$E$10,$E$4*($E$11/$E$28+$E$13)*12/$E$10)</f>
        <v>#DIV/0!</v>
      </c>
      <c r="AD41" s="27" t="e">
        <f t="shared" ref="AD41:AD57" si="55">AC41/$AC$61</f>
        <v>#DIV/0!</v>
      </c>
      <c r="AE41" s="29"/>
      <c r="AF41" s="73"/>
      <c r="AG41" s="28"/>
      <c r="AH41" s="1" t="s">
        <v>57</v>
      </c>
      <c r="AI41" s="35"/>
      <c r="AJ41" s="29" t="str">
        <f t="shared" ref="AJ41:AU41" si="56">IF($E$3="纯租赁",IF(AJ38*12&lt;=$E$12,$E$4*$E$13*12,""),IF(AJ38*12&lt;=$E$12,$E$4*$E$13*12,IF(AJ38*12&lt;=$E$28,MOD($E$12,12)*$E$13*$E$4,"")))</f>
        <v/>
      </c>
      <c r="AK41" s="29" t="str">
        <f t="shared" si="56"/>
        <v/>
      </c>
      <c r="AL41" s="29" t="str">
        <f t="shared" si="56"/>
        <v/>
      </c>
      <c r="AM41" s="29" t="str">
        <f t="shared" si="56"/>
        <v/>
      </c>
      <c r="AN41" s="29" t="str">
        <f t="shared" si="56"/>
        <v/>
      </c>
      <c r="AO41" s="29" t="str">
        <f t="shared" si="56"/>
        <v/>
      </c>
      <c r="AP41" s="29" t="str">
        <f t="shared" si="56"/>
        <v/>
      </c>
      <c r="AQ41" s="29" t="str">
        <f t="shared" si="56"/>
        <v/>
      </c>
      <c r="AR41" s="29" t="str">
        <f t="shared" si="56"/>
        <v/>
      </c>
      <c r="AS41" s="29" t="str">
        <f t="shared" si="56"/>
        <v/>
      </c>
      <c r="AT41" s="29" t="str">
        <f t="shared" si="56"/>
        <v/>
      </c>
      <c r="AU41" s="29" t="str">
        <f t="shared" si="56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t="e" cm="1">
        <f t="array" ref="S42">$AC42*E$6*E$9/(SUMPRODUCT($E$6:$N$6,$E$9:$N$9))</f>
        <v>#DIV/0!</v>
      </c>
      <c r="T42" s="29" t="e" cm="1">
        <f t="array" ref="T42">$AC42*F$6*F$9/(SUMPRODUCT($E$6:$N$6,$E$9:$N$9))</f>
        <v>#DIV/0!</v>
      </c>
      <c r="U42" s="29" t="e" cm="1">
        <f t="array" ref="U42">$AC42*G$6*G$9/(SUMPRODUCT($E$6:$N$6,$E$9:$N$9))</f>
        <v>#DIV/0!</v>
      </c>
      <c r="V42" s="29" t="e" cm="1">
        <f t="array" ref="V42">$AC42*H$6*H$9/(SUMPRODUCT($E$6:$N$6,$E$9:$N$9))</f>
        <v>#DIV/0!</v>
      </c>
      <c r="W42" s="29" t="e" cm="1">
        <f t="array" ref="W42">$AC42*I$6*I$9/(SUMPRODUCT($E$6:$N$6,$E$9:$N$9))</f>
        <v>#DIV/0!</v>
      </c>
      <c r="X42" s="29" t="e" cm="1">
        <f t="array" ref="X42">$AC42*J$6*J$9/(SUMPRODUCT($E$6:$N$6,$E$9:$N$9))</f>
        <v>#DIV/0!</v>
      </c>
      <c r="Y42" s="29" t="e" cm="1">
        <f t="array" ref="Y42">$AC42*K$6*K$9/(SUMPRODUCT($E$6:$N$6,$E$9:$N$9))</f>
        <v>#DIV/0!</v>
      </c>
      <c r="Z42" s="29" t="e" cm="1">
        <f t="array" ref="Z42">$AC42*L$6*L$9/(SUMPRODUCT($E$6:$N$6,$E$9:$N$9))</f>
        <v>#DIV/0!</v>
      </c>
      <c r="AA42" s="29" t="e" cm="1">
        <f t="array" ref="AA42">$AC42*M$6*M$9/(SUMPRODUCT($E$6:$N$6,$E$9:$N$9))</f>
        <v>#DIV/0!</v>
      </c>
      <c r="AB42" s="29" t="e" cm="1">
        <f t="array" ref="AB42">$AC42*N$6*N$9/(SUMPRODUCT($E$6:$N$6,$E$9:$N$9))</f>
        <v>#DIV/0!</v>
      </c>
      <c r="AC42" s="29" t="e">
        <f>$E$14*$E$4*12/$E$10</f>
        <v>#DIV/0!</v>
      </c>
      <c r="AD42" s="27" t="e">
        <f t="shared" si="55"/>
        <v>#DIV/0!</v>
      </c>
      <c r="AE42" s="29"/>
      <c r="AF42" s="73"/>
      <c r="AG42" s="28"/>
      <c r="AH42" s="1" t="s">
        <v>61</v>
      </c>
      <c r="AI42" s="35"/>
      <c r="AJ42" s="29" t="str">
        <f t="shared" ref="AJ42:AU42" si="57">IF($E$3="纯租赁",IF(AJ38*12&lt;=$E$12,$E$14*$E$4*12,""),IF(AJ38*12&lt;=$E$28,$E$14*$E$4*12,""))</f>
        <v/>
      </c>
      <c r="AK42" s="29" t="str">
        <f t="shared" si="57"/>
        <v/>
      </c>
      <c r="AL42" s="29" t="str">
        <f t="shared" si="57"/>
        <v/>
      </c>
      <c r="AM42" s="29" t="str">
        <f t="shared" si="57"/>
        <v/>
      </c>
      <c r="AN42" s="29" t="str">
        <f t="shared" si="57"/>
        <v/>
      </c>
      <c r="AO42" s="29" t="str">
        <f t="shared" si="57"/>
        <v/>
      </c>
      <c r="AP42" s="29" t="str">
        <f t="shared" si="57"/>
        <v/>
      </c>
      <c r="AQ42" s="29" t="str">
        <f t="shared" si="57"/>
        <v/>
      </c>
      <c r="AR42" s="29" t="str">
        <f t="shared" si="57"/>
        <v/>
      </c>
      <c r="AS42" s="29" t="str">
        <f t="shared" si="57"/>
        <v/>
      </c>
      <c r="AT42" s="29" t="str">
        <f t="shared" si="57"/>
        <v/>
      </c>
      <c r="AU42" s="29" t="str">
        <f t="shared" si="57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t="e" cm="1">
        <f t="array" ref="S43">$AC43*E$6*E$9/(SUMPRODUCT($E$6:$N$6,$E$9:$N$9))</f>
        <v>#DIV/0!</v>
      </c>
      <c r="T43" s="29" t="e" cm="1">
        <f t="array" ref="T43">$AC43*F$6*F$9/(SUMPRODUCT($E$6:$N$6,$E$9:$N$9))</f>
        <v>#DIV/0!</v>
      </c>
      <c r="U43" s="29" t="e" cm="1">
        <f t="array" ref="U43">$AC43*G$6*G$9/(SUMPRODUCT($E$6:$N$6,$E$9:$N$9))</f>
        <v>#DIV/0!</v>
      </c>
      <c r="V43" s="29" t="e" cm="1">
        <f t="array" ref="V43">$AC43*H$6*H$9/(SUMPRODUCT($E$6:$N$6,$E$9:$N$9))</f>
        <v>#DIV/0!</v>
      </c>
      <c r="W43" s="29" t="e" cm="1">
        <f t="array" ref="W43">$AC43*I$6*I$9/(SUMPRODUCT($E$6:$N$6,$E$9:$N$9))</f>
        <v>#DIV/0!</v>
      </c>
      <c r="X43" s="29" t="e" cm="1">
        <f t="array" ref="X43">$AC43*J$6*J$9/(SUMPRODUCT($E$6:$N$6,$E$9:$N$9))</f>
        <v>#DIV/0!</v>
      </c>
      <c r="Y43" s="29" t="e" cm="1">
        <f t="array" ref="Y43">$AC43*K$6*K$9/(SUMPRODUCT($E$6:$N$6,$E$9:$N$9))</f>
        <v>#DIV/0!</v>
      </c>
      <c r="Z43" s="29" t="e" cm="1">
        <f t="array" ref="Z43">$AC43*L$6*L$9/(SUMPRODUCT($E$6:$N$6,$E$9:$N$9))</f>
        <v>#DIV/0!</v>
      </c>
      <c r="AA43" s="29" t="e" cm="1">
        <f t="array" ref="AA43">$AC43*M$6*M$9/(SUMPRODUCT($E$6:$N$6,$E$9:$N$9))</f>
        <v>#DIV/0!</v>
      </c>
      <c r="AB43" s="29" t="e" cm="1">
        <f t="array" ref="AB43">$AC43*N$6*N$9/(SUMPRODUCT($E$6:$N$6,$E$9:$N$9))</f>
        <v>#DIV/0!</v>
      </c>
      <c r="AC43" s="29" t="e">
        <f>$E$4*$E$15*12/$E$10</f>
        <v>#DIV/0!</v>
      </c>
      <c r="AD43" s="27" t="e">
        <f t="shared" si="55"/>
        <v>#DIV/0!</v>
      </c>
      <c r="AE43" s="29"/>
      <c r="AF43" s="73"/>
      <c r="AG43" s="28"/>
      <c r="AH43" s="1" t="s">
        <v>64</v>
      </c>
      <c r="AI43" s="35"/>
      <c r="AJ43" s="29" t="str">
        <f t="shared" ref="AJ43:AU43" si="58">IF($E$3="纯租赁",IF(AJ38*12&lt;=$E$12,$E$4*$E$15*12,""),IF(AJ38*12&lt;=$E$28,$E$4*$E$15*12,""))</f>
        <v/>
      </c>
      <c r="AK43" s="29" t="str">
        <f t="shared" si="58"/>
        <v/>
      </c>
      <c r="AL43" s="29" t="str">
        <f t="shared" si="58"/>
        <v/>
      </c>
      <c r="AM43" s="29" t="str">
        <f t="shared" si="58"/>
        <v/>
      </c>
      <c r="AN43" s="29" t="str">
        <f t="shared" si="58"/>
        <v/>
      </c>
      <c r="AO43" s="29" t="str">
        <f t="shared" si="58"/>
        <v/>
      </c>
      <c r="AP43" s="29" t="str">
        <f t="shared" si="58"/>
        <v/>
      </c>
      <c r="AQ43" s="29" t="str">
        <f t="shared" si="58"/>
        <v/>
      </c>
      <c r="AR43" s="29" t="str">
        <f t="shared" si="58"/>
        <v/>
      </c>
      <c r="AS43" s="29" t="str">
        <f t="shared" si="58"/>
        <v/>
      </c>
      <c r="AT43" s="29" t="str">
        <f t="shared" si="58"/>
        <v/>
      </c>
      <c r="AU43" s="29" t="str">
        <f t="shared" si="58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t="e" cm="1">
        <f t="array" ref="S44">$AC44*E$6*E$9/(SUMPRODUCT($E$6:$N$6,$E$9:$N$9))</f>
        <v>#DIV/0!</v>
      </c>
      <c r="T44" s="29" t="e" cm="1">
        <f t="array" ref="T44">$AC44*F$6*F$9/(SUMPRODUCT($E$6:$N$6,$E$9:$N$9))</f>
        <v>#DIV/0!</v>
      </c>
      <c r="U44" s="29" t="e" cm="1">
        <f t="array" ref="U44">$AC44*G$6*G$9/(SUMPRODUCT($E$6:$N$6,$E$9:$N$9))</f>
        <v>#DIV/0!</v>
      </c>
      <c r="V44" s="29" t="e" cm="1">
        <f t="array" ref="V44">$AC44*H$6*H$9/(SUMPRODUCT($E$6:$N$6,$E$9:$N$9))</f>
        <v>#DIV/0!</v>
      </c>
      <c r="W44" s="29" t="e" cm="1">
        <f t="array" ref="W44">$AC44*I$6*I$9/(SUMPRODUCT($E$6:$N$6,$E$9:$N$9))</f>
        <v>#DIV/0!</v>
      </c>
      <c r="X44" s="29" t="e" cm="1">
        <f t="array" ref="X44">$AC44*J$6*J$9/(SUMPRODUCT($E$6:$N$6,$E$9:$N$9))</f>
        <v>#DIV/0!</v>
      </c>
      <c r="Y44" s="29" t="e" cm="1">
        <f t="array" ref="Y44">$AC44*K$6*K$9/(SUMPRODUCT($E$6:$N$6,$E$9:$N$9))</f>
        <v>#DIV/0!</v>
      </c>
      <c r="Z44" s="29" t="e" cm="1">
        <f t="array" ref="Z44">$AC44*L$6*L$9/(SUMPRODUCT($E$6:$N$6,$E$9:$N$9))</f>
        <v>#DIV/0!</v>
      </c>
      <c r="AA44" s="29" t="e" cm="1">
        <f t="array" ref="AA44">$AC44*M$6*M$9/(SUMPRODUCT($E$6:$N$6,$E$9:$N$9))</f>
        <v>#DIV/0!</v>
      </c>
      <c r="AB44" s="29" t="e" cm="1">
        <f t="array" ref="AB44">$AC44*N$6*N$9/(SUMPRODUCT($E$6:$N$6,$E$9:$N$9))</f>
        <v>#DIV/0!</v>
      </c>
      <c r="AC44" s="29" t="e">
        <f>$E$4*$E$16*12/$E$10</f>
        <v>#DIV/0!</v>
      </c>
      <c r="AD44" s="27" t="e">
        <f t="shared" si="55"/>
        <v>#DIV/0!</v>
      </c>
      <c r="AE44" s="29"/>
      <c r="AF44" s="29"/>
      <c r="AG44" s="28"/>
      <c r="AH44" s="1" t="s">
        <v>68</v>
      </c>
      <c r="AI44" s="35"/>
      <c r="AJ44" s="29" t="str">
        <f t="shared" ref="AJ44:AU44" si="59">IF($E$3="纯租赁",IF(AJ38*12&lt;=$E$12,$E$4*$E$16*12,""),IF(AJ38*12&lt;=$E$28,$E$4*$E$16*12,""))</f>
        <v/>
      </c>
      <c r="AK44" s="29" t="str">
        <f t="shared" si="59"/>
        <v/>
      </c>
      <c r="AL44" s="29" t="str">
        <f t="shared" si="59"/>
        <v/>
      </c>
      <c r="AM44" s="29" t="str">
        <f t="shared" si="59"/>
        <v/>
      </c>
      <c r="AN44" s="29" t="str">
        <f t="shared" si="59"/>
        <v/>
      </c>
      <c r="AO44" s="29" t="str">
        <f t="shared" si="59"/>
        <v/>
      </c>
      <c r="AP44" s="29" t="str">
        <f t="shared" si="59"/>
        <v/>
      </c>
      <c r="AQ44" s="29" t="str">
        <f t="shared" si="59"/>
        <v/>
      </c>
      <c r="AR44" s="29" t="str">
        <f t="shared" si="59"/>
        <v/>
      </c>
      <c r="AS44" s="29" t="str">
        <f t="shared" si="59"/>
        <v/>
      </c>
      <c r="AT44" s="29" t="str">
        <f t="shared" si="59"/>
        <v/>
      </c>
      <c r="AU44" s="29" t="str">
        <f t="shared" si="59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t="e" cm="1">
        <f t="array" ref="S45">$AC45*E$6*E$9/(SUMPRODUCT($E$6:$N$6,$E$9:$N$9))</f>
        <v>#DIV/0!</v>
      </c>
      <c r="T45" s="29" t="e" cm="1">
        <f t="array" ref="T45">$AC45*F$6*F$9/(SUMPRODUCT($E$6:$N$6,$E$9:$N$9))</f>
        <v>#DIV/0!</v>
      </c>
      <c r="U45" s="29" t="e" cm="1">
        <f t="array" ref="U45">$AC45*G$6*G$9/(SUMPRODUCT($E$6:$N$6,$E$9:$N$9))</f>
        <v>#DIV/0!</v>
      </c>
      <c r="V45" s="29" t="e" cm="1">
        <f t="array" ref="V45">$AC45*H$6*H$9/(SUMPRODUCT($E$6:$N$6,$E$9:$N$9))</f>
        <v>#DIV/0!</v>
      </c>
      <c r="W45" s="29" t="e" cm="1">
        <f t="array" ref="W45">$AC45*I$6*I$9/(SUMPRODUCT($E$6:$N$6,$E$9:$N$9))</f>
        <v>#DIV/0!</v>
      </c>
      <c r="X45" s="29" t="e" cm="1">
        <f t="array" ref="X45">$AC45*J$6*J$9/(SUMPRODUCT($E$6:$N$6,$E$9:$N$9))</f>
        <v>#DIV/0!</v>
      </c>
      <c r="Y45" s="29" t="e" cm="1">
        <f t="array" ref="Y45">$AC45*K$6*K$9/(SUMPRODUCT($E$6:$N$6,$E$9:$N$9))</f>
        <v>#DIV/0!</v>
      </c>
      <c r="Z45" s="29" t="e" cm="1">
        <f t="array" ref="Z45">$AC45*L$6*L$9/(SUMPRODUCT($E$6:$N$6,$E$9:$N$9))</f>
        <v>#DIV/0!</v>
      </c>
      <c r="AA45" s="29" t="e" cm="1">
        <f t="array" ref="AA45">$AC45*M$6*M$9/(SUMPRODUCT($E$6:$N$6,$E$9:$N$9))</f>
        <v>#DIV/0!</v>
      </c>
      <c r="AB45" s="29" t="e" cm="1">
        <f t="array" ref="AB45">$AC45*N$6*N$9/(SUMPRODUCT($E$6:$N$6,$E$9:$N$9))</f>
        <v>#DIV/0!</v>
      </c>
      <c r="AC45" s="29" t="e">
        <f>$E$4*$E$17*12/$E$10</f>
        <v>#DIV/0!</v>
      </c>
      <c r="AD45" s="27" t="e">
        <f t="shared" si="55"/>
        <v>#DIV/0!</v>
      </c>
      <c r="AE45" s="29"/>
      <c r="AF45" s="29"/>
      <c r="AG45" s="28"/>
      <c r="AH45" s="1" t="s">
        <v>71</v>
      </c>
      <c r="AI45" s="35"/>
      <c r="AJ45" s="29" t="str">
        <f t="shared" ref="AJ45:AU45" si="60">IF($E$3="纯租赁",IF(AJ38*12&lt;=$E$12,$E$4*$E$17*12,""),IF(AJ38*12&lt;=$E$28,$E$4*$E$17*12,""))</f>
        <v/>
      </c>
      <c r="AK45" s="29" t="str">
        <f t="shared" si="60"/>
        <v/>
      </c>
      <c r="AL45" s="29" t="str">
        <f t="shared" si="60"/>
        <v/>
      </c>
      <c r="AM45" s="29" t="str">
        <f t="shared" si="60"/>
        <v/>
      </c>
      <c r="AN45" s="29" t="str">
        <f t="shared" si="60"/>
        <v/>
      </c>
      <c r="AO45" s="29" t="str">
        <f t="shared" si="60"/>
        <v/>
      </c>
      <c r="AP45" s="29" t="str">
        <f t="shared" si="60"/>
        <v/>
      </c>
      <c r="AQ45" s="29" t="str">
        <f t="shared" si="60"/>
        <v/>
      </c>
      <c r="AR45" s="29" t="str">
        <f t="shared" si="60"/>
        <v/>
      </c>
      <c r="AS45" s="29" t="str">
        <f t="shared" si="60"/>
        <v/>
      </c>
      <c r="AT45" s="29" t="str">
        <f t="shared" si="60"/>
        <v/>
      </c>
      <c r="AU45" s="29" t="str">
        <f t="shared" si="60"/>
        <v/>
      </c>
    </row>
    <row r="46" spans="1:63">
      <c r="P46" s="40"/>
      <c r="Q46" s="28"/>
      <c r="R46" s="35" t="s">
        <v>74</v>
      </c>
      <c r="S46" s="29" t="e" cm="1">
        <f t="array" ref="S46">$AC46*E$6*E$9/(SUMPRODUCT($E$6:$N$6,$E$9:$N$9))</f>
        <v>#DIV/0!</v>
      </c>
      <c r="T46" s="29" t="e" cm="1">
        <f t="array" ref="T46">$AC46*F$6*F$9/(SUMPRODUCT($E$6:$N$6,$E$9:$N$9))</f>
        <v>#DIV/0!</v>
      </c>
      <c r="U46" s="29" t="e" cm="1">
        <f t="array" ref="U46">$AC46*G$6*G$9/(SUMPRODUCT($E$6:$N$6,$E$9:$N$9))</f>
        <v>#DIV/0!</v>
      </c>
      <c r="V46" s="29" t="e" cm="1">
        <f t="array" ref="V46">$AC46*H$6*H$9/(SUMPRODUCT($E$6:$N$6,$E$9:$N$9))</f>
        <v>#DIV/0!</v>
      </c>
      <c r="W46" s="29" t="e" cm="1">
        <f t="array" ref="W46">$AC46*I$6*I$9/(SUMPRODUCT($E$6:$N$6,$E$9:$N$9))</f>
        <v>#DIV/0!</v>
      </c>
      <c r="X46" s="29" t="e" cm="1">
        <f t="array" ref="X46">$AC46*J$6*J$9/(SUMPRODUCT($E$6:$N$6,$E$9:$N$9))</f>
        <v>#DIV/0!</v>
      </c>
      <c r="Y46" s="29" t="e" cm="1">
        <f t="array" ref="Y46">$AC46*K$6*K$9/(SUMPRODUCT($E$6:$N$6,$E$9:$N$9))</f>
        <v>#DIV/0!</v>
      </c>
      <c r="Z46" s="29" t="e" cm="1">
        <f t="array" ref="Z46">$AC46*L$6*L$9/(SUMPRODUCT($E$6:$N$6,$E$9:$N$9))</f>
        <v>#DIV/0!</v>
      </c>
      <c r="AA46" s="29" t="e" cm="1">
        <f t="array" ref="AA46">$AC46*M$6*M$9/(SUMPRODUCT($E$6:$N$6,$E$9:$N$9))</f>
        <v>#DIV/0!</v>
      </c>
      <c r="AB46" s="29" t="e" cm="1">
        <f t="array" ref="AB46">$AC46*N$6*N$9/(SUMPRODUCT($E$6:$N$6,$E$9:$N$9))</f>
        <v>#DIV/0!</v>
      </c>
      <c r="AC46" s="29" t="e">
        <f>$E$4*$E$18*12/$E$10</f>
        <v>#DIV/0!</v>
      </c>
      <c r="AD46" s="27" t="e">
        <f t="shared" si="55"/>
        <v>#DIV/0!</v>
      </c>
      <c r="AE46" s="29"/>
      <c r="AF46" s="29"/>
      <c r="AG46" s="28"/>
      <c r="AH46" s="1" t="s">
        <v>74</v>
      </c>
      <c r="AI46" s="35"/>
      <c r="AJ46" s="29" t="str">
        <f t="shared" ref="AJ46:AU46" si="61">IF($E$3="纯租赁",IF(AJ38*12&lt;=$E$12,$E$4*$E$18*12,""),IF(AJ38*12&lt;=$E$28,$E$4*$E$18*12,""))</f>
        <v/>
      </c>
      <c r="AK46" s="29" t="str">
        <f t="shared" si="61"/>
        <v/>
      </c>
      <c r="AL46" s="29" t="str">
        <f t="shared" si="61"/>
        <v/>
      </c>
      <c r="AM46" s="29" t="str">
        <f t="shared" si="61"/>
        <v/>
      </c>
      <c r="AN46" s="29" t="str">
        <f t="shared" si="61"/>
        <v/>
      </c>
      <c r="AO46" s="29" t="str">
        <f t="shared" si="61"/>
        <v/>
      </c>
      <c r="AP46" s="29" t="str">
        <f t="shared" si="61"/>
        <v/>
      </c>
      <c r="AQ46" s="29" t="str">
        <f t="shared" si="61"/>
        <v/>
      </c>
      <c r="AR46" s="29" t="str">
        <f t="shared" si="61"/>
        <v/>
      </c>
      <c r="AS46" s="29" t="str">
        <f t="shared" si="61"/>
        <v/>
      </c>
      <c r="AT46" s="29" t="str">
        <f t="shared" si="61"/>
        <v/>
      </c>
      <c r="AU46" s="29" t="str">
        <f t="shared" si="61"/>
        <v/>
      </c>
    </row>
    <row r="47" spans="1:63">
      <c r="P47" s="40"/>
      <c r="Q47" s="28"/>
      <c r="R47" s="35" t="s">
        <v>78</v>
      </c>
      <c r="S47" s="29" t="e" cm="1">
        <f t="array" ref="S47">$AC47*E$6*E$9/(SUMPRODUCT($E$6:$N$6,$E$9:$N$9))</f>
        <v>#DIV/0!</v>
      </c>
      <c r="T47" s="29" t="e" cm="1">
        <f t="array" ref="T47">$AC47*F$6*F$9/(SUMPRODUCT($E$6:$N$6,$E$9:$N$9))</f>
        <v>#DIV/0!</v>
      </c>
      <c r="U47" s="29" t="e" cm="1">
        <f t="array" ref="U47">$AC47*G$6*G$9/(SUMPRODUCT($E$6:$N$6,$E$9:$N$9))</f>
        <v>#DIV/0!</v>
      </c>
      <c r="V47" s="29" t="e" cm="1">
        <f t="array" ref="V47">$AC47*H$6*H$9/(SUMPRODUCT($E$6:$N$6,$E$9:$N$9))</f>
        <v>#DIV/0!</v>
      </c>
      <c r="W47" s="29" t="e" cm="1">
        <f t="array" ref="W47">$AC47*I$6*I$9/(SUMPRODUCT($E$6:$N$6,$E$9:$N$9))</f>
        <v>#DIV/0!</v>
      </c>
      <c r="X47" s="29" t="e" cm="1">
        <f t="array" ref="X47">$AC47*J$6*J$9/(SUMPRODUCT($E$6:$N$6,$E$9:$N$9))</f>
        <v>#DIV/0!</v>
      </c>
      <c r="Y47" s="29" t="e" cm="1">
        <f t="array" ref="Y47">$AC47*K$6*K$9/(SUMPRODUCT($E$6:$N$6,$E$9:$N$9))</f>
        <v>#DIV/0!</v>
      </c>
      <c r="Z47" s="29" t="e" cm="1">
        <f t="array" ref="Z47">$AC47*L$6*L$9/(SUMPRODUCT($E$6:$N$6,$E$9:$N$9))</f>
        <v>#DIV/0!</v>
      </c>
      <c r="AA47" s="29" t="e" cm="1">
        <f t="array" ref="AA47">$AC47*M$6*M$9/(SUMPRODUCT($E$6:$N$6,$E$9:$N$9))</f>
        <v>#DIV/0!</v>
      </c>
      <c r="AB47" s="29" t="e" cm="1">
        <f t="array" ref="AB47">$AC47*N$6*N$9/(SUMPRODUCT($E$6:$N$6,$E$9:$N$9))</f>
        <v>#DIV/0!</v>
      </c>
      <c r="AC47" s="29" t="e">
        <f>$E$4*$E$19*12/$E$10</f>
        <v>#DIV/0!</v>
      </c>
      <c r="AD47" s="27" t="e">
        <f t="shared" si="55"/>
        <v>#DIV/0!</v>
      </c>
      <c r="AE47" s="29"/>
      <c r="AF47" s="29"/>
      <c r="AG47" s="28"/>
      <c r="AH47" s="1" t="s">
        <v>78</v>
      </c>
      <c r="AI47" s="35"/>
      <c r="AJ47" s="29" t="str">
        <f t="shared" ref="AJ47:AU47" si="62">IF($E$3="纯租赁",IF(AJ38*12&lt;=$E$12,$E$4*$E$19*12,""),IF(AJ38*12&lt;=$E$28,$E$4*$E$19*12,""))</f>
        <v/>
      </c>
      <c r="AK47" s="29" t="str">
        <f t="shared" si="62"/>
        <v/>
      </c>
      <c r="AL47" s="29" t="str">
        <f t="shared" si="62"/>
        <v/>
      </c>
      <c r="AM47" s="29" t="str">
        <f t="shared" si="62"/>
        <v/>
      </c>
      <c r="AN47" s="29" t="str">
        <f t="shared" si="62"/>
        <v/>
      </c>
      <c r="AO47" s="29" t="str">
        <f t="shared" si="62"/>
        <v/>
      </c>
      <c r="AP47" s="29" t="str">
        <f t="shared" si="62"/>
        <v/>
      </c>
      <c r="AQ47" s="29" t="str">
        <f t="shared" si="62"/>
        <v/>
      </c>
      <c r="AR47" s="29" t="str">
        <f t="shared" si="62"/>
        <v/>
      </c>
      <c r="AS47" s="29" t="str">
        <f t="shared" si="62"/>
        <v/>
      </c>
      <c r="AT47" s="29" t="str">
        <f t="shared" si="62"/>
        <v/>
      </c>
      <c r="AU47" s="29" t="str">
        <f t="shared" si="62"/>
        <v/>
      </c>
    </row>
    <row r="48" spans="1:63">
      <c r="P48" s="40"/>
      <c r="Q48" s="28"/>
      <c r="R48" s="35" t="s">
        <v>82</v>
      </c>
      <c r="S48" s="29" t="e" cm="1">
        <f t="array" ref="S48">$AC48*E$6*E$9/(SUMPRODUCT($E$6:$N$6,$E$9:$N$9))</f>
        <v>#DIV/0!</v>
      </c>
      <c r="T48" s="29" t="e" cm="1">
        <f t="array" ref="T48">$AC48*F$6*F$9/(SUMPRODUCT($E$6:$N$6,$E$9:$N$9))</f>
        <v>#DIV/0!</v>
      </c>
      <c r="U48" s="29" t="e" cm="1">
        <f t="array" ref="U48">$AC48*G$6*G$9/(SUMPRODUCT($E$6:$N$6,$E$9:$N$9))</f>
        <v>#DIV/0!</v>
      </c>
      <c r="V48" s="29" t="e" cm="1">
        <f t="array" ref="V48">$AC48*H$6*H$9/(SUMPRODUCT($E$6:$N$6,$E$9:$N$9))</f>
        <v>#DIV/0!</v>
      </c>
      <c r="W48" s="29" t="e" cm="1">
        <f t="array" ref="W48">$AC48*I$6*I$9/(SUMPRODUCT($E$6:$N$6,$E$9:$N$9))</f>
        <v>#DIV/0!</v>
      </c>
      <c r="X48" s="29" t="e" cm="1">
        <f t="array" ref="X48">$AC48*J$6*J$9/(SUMPRODUCT($E$6:$N$6,$E$9:$N$9))</f>
        <v>#DIV/0!</v>
      </c>
      <c r="Y48" s="29" t="e" cm="1">
        <f t="array" ref="Y48">$AC48*K$6*K$9/(SUMPRODUCT($E$6:$N$6,$E$9:$N$9))</f>
        <v>#DIV/0!</v>
      </c>
      <c r="Z48" s="29" t="e" cm="1">
        <f t="array" ref="Z48">$AC48*L$6*L$9/(SUMPRODUCT($E$6:$N$6,$E$9:$N$9))</f>
        <v>#DIV/0!</v>
      </c>
      <c r="AA48" s="29" t="e" cm="1">
        <f t="array" ref="AA48">$AC48*M$6*M$9/(SUMPRODUCT($E$6:$N$6,$E$9:$N$9))</f>
        <v>#DIV/0!</v>
      </c>
      <c r="AB48" s="29" t="e" cm="1">
        <f t="array" ref="AB48">$AC48*N$6*N$9/(SUMPRODUCT($E$6:$N$6,$E$9:$N$9))</f>
        <v>#DIV/0!</v>
      </c>
      <c r="AC48" s="29" t="e">
        <f>$E$4*$E$20*12/$E$10</f>
        <v>#DIV/0!</v>
      </c>
      <c r="AD48" s="27" t="e">
        <f t="shared" si="55"/>
        <v>#DIV/0!</v>
      </c>
      <c r="AE48" s="29"/>
      <c r="AF48" s="29"/>
      <c r="AG48" s="28"/>
      <c r="AH48" s="1" t="s">
        <v>82</v>
      </c>
      <c r="AI48" s="35"/>
      <c r="AJ48" s="29" t="str">
        <f t="shared" ref="AJ48:AU48" si="63">IF($E$3="纯租赁",IF(AJ38*12&lt;=$E$12,$E$4*$E$20*12,""),IF(AJ38*12&lt;=$E$28,$E$4*$E$20*12,""))</f>
        <v/>
      </c>
      <c r="AK48" s="29" t="str">
        <f t="shared" si="63"/>
        <v/>
      </c>
      <c r="AL48" s="29" t="str">
        <f t="shared" si="63"/>
        <v/>
      </c>
      <c r="AM48" s="29" t="str">
        <f t="shared" si="63"/>
        <v/>
      </c>
      <c r="AN48" s="29" t="str">
        <f t="shared" si="63"/>
        <v/>
      </c>
      <c r="AO48" s="29" t="str">
        <f t="shared" si="63"/>
        <v/>
      </c>
      <c r="AP48" s="29" t="str">
        <f t="shared" si="63"/>
        <v/>
      </c>
      <c r="AQ48" s="29" t="str">
        <f t="shared" si="63"/>
        <v/>
      </c>
      <c r="AR48" s="29" t="str">
        <f t="shared" si="63"/>
        <v/>
      </c>
      <c r="AS48" s="29" t="str">
        <f t="shared" si="63"/>
        <v/>
      </c>
      <c r="AT48" s="29" t="str">
        <f t="shared" si="63"/>
        <v/>
      </c>
      <c r="AU48" s="29" t="str">
        <f t="shared" si="63"/>
        <v/>
      </c>
    </row>
    <row r="49" spans="16:47">
      <c r="P49" s="40"/>
      <c r="Q49" s="28"/>
      <c r="R49" s="23" t="s">
        <v>85</v>
      </c>
      <c r="S49" s="24" t="e" cm="1">
        <f t="array" ref="S49">$AC49*E$6*E$9/(SUMPRODUCT($E$6:$N$6,$E$9:$N$9))</f>
        <v>#DIV/0!</v>
      </c>
      <c r="T49" s="24" t="e" cm="1">
        <f t="array" ref="T49">$AC49*F$6*F$9/(SUMPRODUCT($E$6:$N$6,$E$9:$N$9))</f>
        <v>#DIV/0!</v>
      </c>
      <c r="U49" s="24" t="e" cm="1">
        <f t="array" ref="U49">$AC49*G$6*G$9/(SUMPRODUCT($E$6:$N$6,$E$9:$N$9))</f>
        <v>#DIV/0!</v>
      </c>
      <c r="V49" s="24" t="e" cm="1">
        <f t="array" ref="V49">$AC49*H$6*H$9/(SUMPRODUCT($E$6:$N$6,$E$9:$N$9))</f>
        <v>#DIV/0!</v>
      </c>
      <c r="W49" s="24" t="e" cm="1">
        <f t="array" ref="W49">$AC49*I$6*I$9/(SUMPRODUCT($E$6:$N$6,$E$9:$N$9))</f>
        <v>#DIV/0!</v>
      </c>
      <c r="X49" s="24" t="e" cm="1">
        <f t="array" ref="X49">$AC49*J$6*J$9/(SUMPRODUCT($E$6:$N$6,$E$9:$N$9))</f>
        <v>#DIV/0!</v>
      </c>
      <c r="Y49" s="24" t="e" cm="1">
        <f t="array" ref="Y49">$AC49*K$6*K$9/(SUMPRODUCT($E$6:$N$6,$E$9:$N$9))</f>
        <v>#DIV/0!</v>
      </c>
      <c r="Z49" s="24" t="e" cm="1">
        <f t="array" ref="Z49">$AC49*L$6*L$9/(SUMPRODUCT($E$6:$N$6,$E$9:$N$9))</f>
        <v>#DIV/0!</v>
      </c>
      <c r="AA49" s="24" t="e" cm="1">
        <f t="array" ref="AA49">$AC49*M$6*M$9/(SUMPRODUCT($E$6:$N$6,$E$9:$N$9))</f>
        <v>#DIV/0!</v>
      </c>
      <c r="AB49" s="24" t="e" cm="1">
        <f t="array" ref="AB49">$AC49*N$6*N$9/(SUMPRODUCT($E$6:$N$6,$E$9:$N$9))</f>
        <v>#DIV/0!</v>
      </c>
      <c r="AC49" s="24" t="e">
        <f>$E$4*$E$21*12/$E$10</f>
        <v>#DIV/0!</v>
      </c>
      <c r="AD49" s="79" t="e">
        <f t="shared" si="55"/>
        <v>#DIV/0!</v>
      </c>
      <c r="AG49" s="28"/>
      <c r="AH49" s="1" t="s">
        <v>85</v>
      </c>
      <c r="AI49" s="35"/>
      <c r="AJ49" s="29" t="str">
        <f t="shared" ref="AJ49:AU49" si="64">IF($E$3="纯租赁",IF(AJ38*12&lt;=$E$12,$E$4*$E$21*12,""),IF(AJ38*12&lt;=$E$28,$E$4*$E$21*12,""))</f>
        <v/>
      </c>
      <c r="AK49" s="29" t="str">
        <f t="shared" si="64"/>
        <v/>
      </c>
      <c r="AL49" s="29" t="str">
        <f t="shared" si="64"/>
        <v/>
      </c>
      <c r="AM49" s="29" t="str">
        <f t="shared" si="64"/>
        <v/>
      </c>
      <c r="AN49" s="29" t="str">
        <f t="shared" si="64"/>
        <v/>
      </c>
      <c r="AO49" s="29" t="str">
        <f t="shared" si="64"/>
        <v/>
      </c>
      <c r="AP49" s="29" t="str">
        <f t="shared" si="64"/>
        <v/>
      </c>
      <c r="AQ49" s="29" t="str">
        <f t="shared" si="64"/>
        <v/>
      </c>
      <c r="AR49" s="29" t="str">
        <f t="shared" si="64"/>
        <v/>
      </c>
      <c r="AS49" s="29" t="str">
        <f t="shared" si="64"/>
        <v/>
      </c>
      <c r="AT49" s="29" t="str">
        <f t="shared" si="64"/>
        <v/>
      </c>
      <c r="AU49" s="29" t="str">
        <f t="shared" si="64"/>
        <v/>
      </c>
    </row>
    <row r="50" spans="16:47">
      <c r="Q50" s="53" t="s">
        <v>15</v>
      </c>
      <c r="R50" s="35" t="s">
        <v>88</v>
      </c>
      <c r="S50" s="29">
        <f t="shared" ref="S50:AB50" si="65">$E$4*E$9*E$22</f>
        <v>0</v>
      </c>
      <c r="T50" s="29">
        <f t="shared" si="65"/>
        <v>0</v>
      </c>
      <c r="U50" s="29">
        <f t="shared" si="65"/>
        <v>0</v>
      </c>
      <c r="V50" s="29">
        <f t="shared" si="65"/>
        <v>0</v>
      </c>
      <c r="W50" s="29">
        <f t="shared" si="65"/>
        <v>0</v>
      </c>
      <c r="X50" s="29">
        <f t="shared" si="65"/>
        <v>0</v>
      </c>
      <c r="Y50" s="29">
        <f t="shared" si="65"/>
        <v>0</v>
      </c>
      <c r="Z50" s="29">
        <f t="shared" si="65"/>
        <v>0</v>
      </c>
      <c r="AA50" s="29">
        <f t="shared" si="65"/>
        <v>0</v>
      </c>
      <c r="AB50" s="29">
        <f t="shared" si="65"/>
        <v>0</v>
      </c>
      <c r="AC50" s="29" cm="1">
        <f t="array" ref="AC50">$E$4*SUMPRODUCT($E$9:$N$9,$E$22:$N$22)</f>
        <v>0</v>
      </c>
      <c r="AD50" s="27" t="e">
        <f t="shared" si="55"/>
        <v>#DIV/0!</v>
      </c>
      <c r="AG50" s="53" t="s">
        <v>15</v>
      </c>
      <c r="AH50" s="80" t="s">
        <v>88</v>
      </c>
      <c r="AI50" s="81"/>
      <c r="AJ50" s="82" t="str" cm="1">
        <f t="array" ref="AJ50">IF($E$3="纯租赁",IF(AJ38*12&lt;=$E$12,$E$4*SUMPRODUCT($E$9:$N$9,$E$22:$N$22)*$E$10,""),IF(AJ38*12&lt;=$E$28,$E$4*SUMPRODUCT($E$9:$N$9,$E$22:$N$22)*$E$10,""))</f>
        <v/>
      </c>
      <c r="AK50" s="82" t="str" cm="1">
        <f t="array" ref="AK50">IF($E$3="纯租赁",IF(AK38*12&lt;=$E$12,$E$4*SUMPRODUCT($E$9:$N$9,$E$22:$N$22)*$E$10,""),IF(AK38*12&lt;=$E$28,$E$4*SUMPRODUCT($E$9:$N$9,$E$22:$N$22)*$E$10,""))</f>
        <v/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66">$E$4*E$9*E$23</f>
        <v>0</v>
      </c>
      <c r="T51" s="29">
        <f t="shared" si="66"/>
        <v>0</v>
      </c>
      <c r="U51" s="29">
        <f t="shared" si="66"/>
        <v>0</v>
      </c>
      <c r="V51" s="29">
        <f t="shared" si="66"/>
        <v>0</v>
      </c>
      <c r="W51" s="29">
        <f t="shared" si="66"/>
        <v>0</v>
      </c>
      <c r="X51" s="29">
        <f t="shared" si="66"/>
        <v>0</v>
      </c>
      <c r="Y51" s="29">
        <f t="shared" si="66"/>
        <v>0</v>
      </c>
      <c r="Z51" s="29">
        <f t="shared" si="66"/>
        <v>0</v>
      </c>
      <c r="AA51" s="29">
        <f t="shared" si="66"/>
        <v>0</v>
      </c>
      <c r="AB51" s="29">
        <f t="shared" si="66"/>
        <v>0</v>
      </c>
      <c r="AC51" s="29" cm="1">
        <f t="array" ref="AC51">$E$4*SUMPRODUCT($E$9:$N$9,$E$23:$N$23)</f>
        <v>0</v>
      </c>
      <c r="AD51" s="27" t="e">
        <f t="shared" si="55"/>
        <v>#DIV/0!</v>
      </c>
      <c r="AF51" s="71"/>
      <c r="AG51" s="28"/>
      <c r="AH51" s="1" t="s">
        <v>91</v>
      </c>
      <c r="AI51" s="35"/>
      <c r="AJ51" s="29" t="str" cm="1">
        <f t="array" ref="AJ51">IF($E$3="纯租赁",IF(AJ38*12&lt;=$E$12,$E$4*SUMPRODUCT($E$23:$N$23,$E$9:$N$9)*$E$10,""),IF(AJ38*12&lt;=$E$28,$E$4*SUMPRODUCT($E$23:$N$23,$E$9:$N$9)*$E$10,""))</f>
        <v/>
      </c>
      <c r="AK51" s="29" t="str" cm="1">
        <f t="array" ref="AK51">IF($E$3="纯租赁",IF(AK38*12&lt;=$E$12,$E$4*SUMPRODUCT($E$23:$N$23,$E$9:$N$9)*$E$10,""),IF(AK38*12&lt;=$E$28,$E$4*SUMPRODUCT($E$23:$N$23,$E$9:$N$9)*$E$10,""))</f>
        <v/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67">$E$4*E$9*E$24</f>
        <v>0</v>
      </c>
      <c r="T52" s="29">
        <f t="shared" si="67"/>
        <v>0</v>
      </c>
      <c r="U52" s="29">
        <f t="shared" si="67"/>
        <v>0</v>
      </c>
      <c r="V52" s="29">
        <f t="shared" si="67"/>
        <v>0</v>
      </c>
      <c r="W52" s="29">
        <f t="shared" si="67"/>
        <v>0</v>
      </c>
      <c r="X52" s="29">
        <f t="shared" si="67"/>
        <v>0</v>
      </c>
      <c r="Y52" s="29">
        <f t="shared" si="67"/>
        <v>0</v>
      </c>
      <c r="Z52" s="29">
        <f t="shared" si="67"/>
        <v>0</v>
      </c>
      <c r="AA52" s="29">
        <f t="shared" si="67"/>
        <v>0</v>
      </c>
      <c r="AB52" s="29">
        <f t="shared" si="67"/>
        <v>0</v>
      </c>
      <c r="AC52" s="29" cm="1">
        <f t="array" ref="AC52">$E$4*SUMPRODUCT($E$9:$N$9,$E$24:$N$24)</f>
        <v>0</v>
      </c>
      <c r="AD52" s="27" t="e">
        <f t="shared" si="55"/>
        <v>#DIV/0!</v>
      </c>
      <c r="AG52" s="28"/>
      <c r="AH52" s="1" t="s">
        <v>94</v>
      </c>
      <c r="AI52" s="35"/>
      <c r="AJ52" s="29" t="str" cm="1">
        <f t="array" ref="AJ52">IF($E$3="纯租赁",IF(AJ38*12&lt;=$E$12,$E$4*$E$10*SUMPRODUCT($E$24:$N$24,$E$9:$N$9),""),IF(AJ38*12&lt;=$E$28,$E$4*$E$10*SUMPRODUCT($E$24:$N$24,$E$9:$N$9),""))</f>
        <v/>
      </c>
      <c r="AK52" s="29" t="str" cm="1">
        <f t="array" ref="AK52">IF($E$3="纯租赁",IF(AK38*12&lt;=$E$12,$E$4*$E$10*SUMPRODUCT($E$24:$N$24,$E$9:$N$9),""),IF(AK38*12&lt;=$E$28,$E$4*$E$10*SUMPRODUCT($E$24:$N$24,$E$9:$N$9),""))</f>
        <v/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68">$E$4*E$9*E$25</f>
        <v>0</v>
      </c>
      <c r="T53" s="29">
        <f t="shared" si="68"/>
        <v>0</v>
      </c>
      <c r="U53" s="29">
        <f t="shared" si="68"/>
        <v>0</v>
      </c>
      <c r="V53" s="29">
        <f t="shared" si="68"/>
        <v>0</v>
      </c>
      <c r="W53" s="29">
        <f t="shared" si="68"/>
        <v>0</v>
      </c>
      <c r="X53" s="29">
        <f t="shared" si="68"/>
        <v>0</v>
      </c>
      <c r="Y53" s="29">
        <f t="shared" si="68"/>
        <v>0</v>
      </c>
      <c r="Z53" s="29">
        <f t="shared" si="68"/>
        <v>0</v>
      </c>
      <c r="AA53" s="29">
        <f t="shared" si="68"/>
        <v>0</v>
      </c>
      <c r="AB53" s="29">
        <f t="shared" si="68"/>
        <v>0</v>
      </c>
      <c r="AC53" s="29" cm="1">
        <f t="array" ref="AC53">$E$4*SUMPRODUCT($E$9:$N$9,$E$25:$N$25)</f>
        <v>0</v>
      </c>
      <c r="AD53" s="27" t="e">
        <f t="shared" si="55"/>
        <v>#DIV/0!</v>
      </c>
      <c r="AG53" s="28"/>
      <c r="AH53" s="1" t="s">
        <v>97</v>
      </c>
      <c r="AI53" s="35"/>
      <c r="AJ53" s="29" t="str" cm="1">
        <f t="array" ref="AJ53">IF($E$3="纯租赁",IF(AJ38*12&lt;=$E$12,$E$4*$E$10*SUMPRODUCT($E$25:$N$25,$E$9:$N$9),""),IF(AJ38*12&lt;=$E$28,$E$4*$E$10*SUMPRODUCT($E$25:$N$25,$E$9:$N$9),""))</f>
        <v/>
      </c>
      <c r="AK53" s="29" t="str" cm="1">
        <f t="array" ref="AK53">IF($E$3="纯租赁",IF(AK38*12&lt;=$E$12,$E$4*$E$10*SUMPRODUCT($E$25:$N$25,$E$9:$N$9),""),IF(AK38*12&lt;=$E$28,$E$4*$E$10*SUMPRODUCT($E$25:$N$25,$E$9:$N$9),""))</f>
        <v/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69">IF(E$8,$E$4*$E$32*$E$5*E$6,$E$4*$E$33*$E$5*E$6)*E$9</f>
        <v>0</v>
      </c>
      <c r="T54" s="20">
        <f t="shared" si="69"/>
        <v>0</v>
      </c>
      <c r="U54" s="20">
        <f t="shared" si="69"/>
        <v>0</v>
      </c>
      <c r="V54" s="20">
        <f t="shared" si="69"/>
        <v>0</v>
      </c>
      <c r="W54" s="20">
        <f t="shared" si="69"/>
        <v>0</v>
      </c>
      <c r="X54" s="20">
        <f t="shared" si="69"/>
        <v>0</v>
      </c>
      <c r="Y54" s="20">
        <f t="shared" si="69"/>
        <v>0</v>
      </c>
      <c r="Z54" s="20">
        <f t="shared" si="69"/>
        <v>0</v>
      </c>
      <c r="AA54" s="20">
        <f t="shared" si="69"/>
        <v>0</v>
      </c>
      <c r="AB54" s="20">
        <f t="shared" si="69"/>
        <v>0</v>
      </c>
      <c r="AC54" s="29" cm="1">
        <f t="array" ref="AC54">$E$4*$E$5*SUMPRODUCT(IF($E$8:$N$8,$E$32,$E$33),$E$6:$N$6,$E$9:$N$9)</f>
        <v>0</v>
      </c>
      <c r="AD54" s="27" t="e">
        <f t="shared" si="55"/>
        <v>#DIV/0!</v>
      </c>
      <c r="AG54" s="28"/>
      <c r="AH54" s="1" t="s">
        <v>100</v>
      </c>
      <c r="AI54" s="35"/>
      <c r="AJ54" s="29" t="str" cm="1">
        <f t="array" ref="AJ54">IF($E$3="纯租赁",IF(AJ38*12&lt;=$E$12,$E$4*$E$5*$E$10*SUMPRODUCT(IF($E$8:$N$8,$E$32,$E$33),$E$6:$N$6,$E$9:$N$9),""),IF(AJ38*12&lt;=$E$28,$E$4*$E$5*$E$10*SUMPRODUCT(IF($E$8:$N$8,$E$32,$E$33),$E$6:$N$6,$E$9:$N$9),""))</f>
        <v/>
      </c>
      <c r="AK54" s="29" t="str" cm="1">
        <f t="array" ref="AK54">IF($E$3="纯租赁",IF(AK38*12&lt;=$E$12,$E$4*$E$5*$E$10*SUMPRODUCT(IF($E$8:$N$8,$E$32,$E$33),$E$6:$N$6,$E$9:$N$9),""),IF(AK38*12&lt;=$E$28,$E$4*$E$5*$E$10*SUMPRODUCT(IF($E$8:$N$8,$E$32,$E$33),$E$6:$N$6,$E$9:$N$9),""))</f>
        <v/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t="e" cm="1">
        <f t="array" ref="S55">$AC55*E$6*E$9/(SUMPRODUCT($E$6:$N$6,$E$9:$N$9))</f>
        <v>#DIV/0!</v>
      </c>
      <c r="T55" s="24" t="e" cm="1">
        <f t="array" ref="T55">$AC55*F$6*F$9/(SUMPRODUCT($E$6:$N$6,$E$9:$N$9))</f>
        <v>#DIV/0!</v>
      </c>
      <c r="U55" s="24" t="e" cm="1">
        <f t="array" ref="U55">$AC55*G$6*G$9/(SUMPRODUCT($E$6:$N$6,$E$9:$N$9))</f>
        <v>#DIV/0!</v>
      </c>
      <c r="V55" s="24" t="e" cm="1">
        <f t="array" ref="V55">$AC55*H$6*H$9/(SUMPRODUCT($E$6:$N$6,$E$9:$N$9))</f>
        <v>#DIV/0!</v>
      </c>
      <c r="W55" s="24" t="e" cm="1">
        <f t="array" ref="W55">$AC55*I$6*I$9/(SUMPRODUCT($E$6:$N$6,$E$9:$N$9))</f>
        <v>#DIV/0!</v>
      </c>
      <c r="X55" s="24" t="e" cm="1">
        <f t="array" ref="X55">$AC55*J$6*J$9/(SUMPRODUCT($E$6:$N$6,$E$9:$N$9))</f>
        <v>#DIV/0!</v>
      </c>
      <c r="Y55" s="24" t="e" cm="1">
        <f t="array" ref="Y55">$AC55*K$6*K$9/(SUMPRODUCT($E$6:$N$6,$E$9:$N$9))</f>
        <v>#DIV/0!</v>
      </c>
      <c r="Z55" s="24" t="e" cm="1">
        <f t="array" ref="Z55">$AC55*L$6*L$9/(SUMPRODUCT($E$6:$N$6,$E$9:$N$9))</f>
        <v>#DIV/0!</v>
      </c>
      <c r="AA55" s="24" t="e" cm="1">
        <f t="array" ref="AA55">$AC55*M$6*M$9/(SUMPRODUCT($E$6:$N$6,$E$9:$N$9))</f>
        <v>#DIV/0!</v>
      </c>
      <c r="AB55" s="24" t="e" cm="1">
        <f t="array" ref="AB55">$AC55*N$6*N$9/(SUMPRODUCT($E$6:$N$6,$E$9:$N$9))</f>
        <v>#DIV/0!</v>
      </c>
      <c r="AC55" s="24" cm="1">
        <f t="array" ref="AC55">SUMPRODUCT($E$6:$N$6,$E$9:$N$9)/$E$29*$E$30*$E$4*$E$31</f>
        <v>0</v>
      </c>
      <c r="AD55" s="79" t="e">
        <f t="shared" si="55"/>
        <v>#DIV/0!</v>
      </c>
      <c r="AG55" s="22"/>
      <c r="AH55" s="50" t="s">
        <v>103</v>
      </c>
      <c r="AI55" s="23"/>
      <c r="AJ55" s="24" t="str" cm="1">
        <f t="array" ref="AJ55">IF($E$3="纯租赁",IF(AJ38*12&lt;=$E$12,SUMPRODUCT($E$6:$N$6,$E$9:$N$9)*$E$10/$E$29*$E$30*$E$4*$E$31,""),IF(AJ38*12&lt;=$E$28,SUMPRODUCT($E$6:$N$6,$E$9:$N$9)*$E$10/$E$29*$E$30*$E$4*$E$31,""))</f>
        <v/>
      </c>
      <c r="AK55" s="24" t="str" cm="1">
        <f t="array" ref="AK55">IF($E$3="纯租赁",IF(AK38*12&lt;=$E$12,SUMPRODUCT($E$6:$N$6,$E$9:$N$9)*$E$10/$E$29*$E$30*$E$4*$E$31,""),IF(AK38*12&lt;=$E$28,SUMPRODUCT($E$6:$N$6,$E$9:$N$9)*$E$10/$E$29*$E$30*$E$4*$E$31,""))</f>
        <v/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t="e" cm="1">
        <f t="array" ref="S56">$AC56*E$6*E$9/(SUMPRODUCT($E$6:$N$6,$E$9:$N$9))</f>
        <v>#DIV/0!</v>
      </c>
      <c r="T56" s="29" t="e" cm="1">
        <f t="array" ref="T56">$AC56*F$6*F$9/(SUMPRODUCT($E$6:$N$6,$E$9:$N$9))</f>
        <v>#DIV/0!</v>
      </c>
      <c r="U56" s="29" t="e" cm="1">
        <f t="array" ref="U56">$AC56*G$6*G$9/(SUMPRODUCT($E$6:$N$6,$E$9:$N$9))</f>
        <v>#DIV/0!</v>
      </c>
      <c r="V56" s="29" t="e" cm="1">
        <f t="array" ref="V56">$AC56*H$6*H$9/(SUMPRODUCT($E$6:$N$6,$E$9:$N$9))</f>
        <v>#DIV/0!</v>
      </c>
      <c r="W56" s="29" t="e" cm="1">
        <f t="array" ref="W56">$AC56*I$6*I$9/(SUMPRODUCT($E$6:$N$6,$E$9:$N$9))</f>
        <v>#DIV/0!</v>
      </c>
      <c r="X56" s="29" t="e" cm="1">
        <f t="array" ref="X56">$AC56*J$6*J$9/(SUMPRODUCT($E$6:$N$6,$E$9:$N$9))</f>
        <v>#DIV/0!</v>
      </c>
      <c r="Y56" s="29" t="e" cm="1">
        <f t="array" ref="Y56">$AC56*K$6*K$9/(SUMPRODUCT($E$6:$N$6,$E$9:$N$9))</f>
        <v>#DIV/0!</v>
      </c>
      <c r="Z56" s="29" t="e" cm="1">
        <f t="array" ref="Z56">$AC56*L$6*L$9/(SUMPRODUCT($E$6:$N$6,$E$9:$N$9))</f>
        <v>#DIV/0!</v>
      </c>
      <c r="AA56" s="29" t="e" cm="1">
        <f t="array" ref="AA56">$AC56*M$6*M$9/(SUMPRODUCT($E$6:$N$6,$E$9:$N$9))</f>
        <v>#DIV/0!</v>
      </c>
      <c r="AB56" s="29" t="e" cm="1">
        <f t="array" ref="AB56">$AC56*N$6*N$9/(SUMPRODUCT($E$6:$N$6,$E$9:$N$9))</f>
        <v>#DIV/0!</v>
      </c>
      <c r="AC56" s="29">
        <f>AC39*$E$34/12*$E$26</f>
        <v>0</v>
      </c>
      <c r="AD56" s="27" t="e">
        <f t="shared" si="55"/>
        <v>#DIV/0!</v>
      </c>
      <c r="AG56" s="28" t="s">
        <v>16</v>
      </c>
      <c r="AH56" s="1" t="s">
        <v>106</v>
      </c>
      <c r="AI56" s="35"/>
      <c r="AJ56" s="29" t="str">
        <f t="shared" ref="AJ56:AU56" si="70">IFERROR(AJ39*$E$34/12*$E$26,"")</f>
        <v/>
      </c>
      <c r="AK56" s="29" t="str">
        <f t="shared" si="70"/>
        <v/>
      </c>
      <c r="AL56" s="29" t="str">
        <f t="shared" si="70"/>
        <v/>
      </c>
      <c r="AM56" s="29" t="str">
        <f t="shared" si="70"/>
        <v/>
      </c>
      <c r="AN56" s="29" t="str">
        <f t="shared" si="70"/>
        <v/>
      </c>
      <c r="AO56" s="29" t="str">
        <f t="shared" si="70"/>
        <v/>
      </c>
      <c r="AP56" s="29" t="str">
        <f t="shared" si="70"/>
        <v/>
      </c>
      <c r="AQ56" s="29" t="str">
        <f t="shared" si="70"/>
        <v/>
      </c>
      <c r="AR56" s="29" t="str">
        <f t="shared" si="70"/>
        <v/>
      </c>
      <c r="AS56" s="29" t="str">
        <f t="shared" si="70"/>
        <v/>
      </c>
      <c r="AT56" s="29" t="str">
        <f t="shared" si="70"/>
        <v/>
      </c>
      <c r="AU56" s="29" t="str">
        <f t="shared" si="70"/>
        <v/>
      </c>
    </row>
    <row r="57" spans="16:47">
      <c r="Q57" s="64"/>
      <c r="R57" s="35" t="s">
        <v>109</v>
      </c>
      <c r="S57" s="29" t="e" cm="1">
        <f t="array" ref="S57">$AC57*E$6*E$9/(SUMPRODUCT($E$6:$N$6,$E$9:$N$9))</f>
        <v>#DIV/0!</v>
      </c>
      <c r="T57" s="29" t="e" cm="1">
        <f t="array" ref="T57">$AC57*F$6*F$9/(SUMPRODUCT($E$6:$N$6,$E$9:$N$9))</f>
        <v>#DIV/0!</v>
      </c>
      <c r="U57" s="29" t="e" cm="1">
        <f t="array" ref="U57">$AC57*G$6*G$9/(SUMPRODUCT($E$6:$N$6,$E$9:$N$9))</f>
        <v>#DIV/0!</v>
      </c>
      <c r="V57" s="29" t="e" cm="1">
        <f t="array" ref="V57">$AC57*H$6*H$9/(SUMPRODUCT($E$6:$N$6,$E$9:$N$9))</f>
        <v>#DIV/0!</v>
      </c>
      <c r="W57" s="29" t="e" cm="1">
        <f t="array" ref="W57">$AC57*I$6*I$9/(SUMPRODUCT($E$6:$N$6,$E$9:$N$9))</f>
        <v>#DIV/0!</v>
      </c>
      <c r="X57" s="29" t="e" cm="1">
        <f t="array" ref="X57">$AC57*J$6*J$9/(SUMPRODUCT($E$6:$N$6,$E$9:$N$9))</f>
        <v>#DIV/0!</v>
      </c>
      <c r="Y57" s="29" t="e" cm="1">
        <f t="array" ref="Y57">$AC57*K$6*K$9/(SUMPRODUCT($E$6:$N$6,$E$9:$N$9))</f>
        <v>#DIV/0!</v>
      </c>
      <c r="Z57" s="29" t="e" cm="1">
        <f t="array" ref="Z57">$AC57*L$6*L$9/(SUMPRODUCT($E$6:$N$6,$E$9:$N$9))</f>
        <v>#DIV/0!</v>
      </c>
      <c r="AA57" s="29" t="e" cm="1">
        <f t="array" ref="AA57">$AC57*M$6*M$9/(SUMPRODUCT($E$6:$N$6,$E$9:$N$9))</f>
        <v>#DIV/0!</v>
      </c>
      <c r="AB57" s="29" t="e" cm="1">
        <f t="array" ref="AB57">$AC57*N$6*N$9/(SUMPRODUCT($E$6:$N$6,$E$9:$N$9))</f>
        <v>#DIV/0!</v>
      </c>
      <c r="AC57" s="29" t="e">
        <f>($E$4*$E$13*12/$E$10+SUM(AC42:AC55))*$E$35/12*$E$27</f>
        <v>#DIV/0!</v>
      </c>
      <c r="AD57" s="27" t="e">
        <f t="shared" si="55"/>
        <v>#DIV/0!</v>
      </c>
      <c r="AG57" s="28"/>
      <c r="AH57" s="1" t="s">
        <v>109</v>
      </c>
      <c r="AI57" s="35"/>
      <c r="AJ57" s="29" t="str">
        <f t="shared" ref="AJ57:AU57" si="71">IF($E$3="纯租赁",IF(AJ38*12&lt;=$E$12,SUM(AJ41:AJ55)*$E$35/12*$E$27,""),IF(AJ38*12&lt;=$E$28,SUM(AJ41:AJ55)*$E$35/12*$E$27,""))</f>
        <v/>
      </c>
      <c r="AK57" s="29" t="str">
        <f t="shared" si="71"/>
        <v/>
      </c>
      <c r="AL57" s="29" t="str">
        <f t="shared" si="71"/>
        <v/>
      </c>
      <c r="AM57" s="29" t="str">
        <f t="shared" si="71"/>
        <v/>
      </c>
      <c r="AN57" s="29" t="str">
        <f t="shared" si="71"/>
        <v/>
      </c>
      <c r="AO57" s="29" t="str">
        <f t="shared" si="71"/>
        <v/>
      </c>
      <c r="AP57" s="29" t="str">
        <f t="shared" si="71"/>
        <v/>
      </c>
      <c r="AQ57" s="29" t="str">
        <f t="shared" si="71"/>
        <v/>
      </c>
      <c r="AR57" s="29" t="str">
        <f t="shared" si="71"/>
        <v/>
      </c>
      <c r="AS57" s="29" t="str">
        <f t="shared" si="71"/>
        <v/>
      </c>
      <c r="AT57" s="29" t="str">
        <f t="shared" si="71"/>
        <v/>
      </c>
      <c r="AU57" s="29" t="str">
        <f t="shared" si="71"/>
        <v/>
      </c>
    </row>
    <row r="58" spans="16:47">
      <c r="Q58" s="53" t="s">
        <v>17</v>
      </c>
      <c r="R58" s="65" t="s">
        <v>112</v>
      </c>
      <c r="S58" s="55" t="e" cm="1">
        <f t="array" ref="S58">$AC58*E$6*E$9/(SUMPRODUCT($E$6:$N$6,$E$9:$N$9))</f>
        <v>#DIV/0!</v>
      </c>
      <c r="T58" s="55" t="e" cm="1">
        <f t="array" ref="T58">$AC58*F$6*F$9/(SUMPRODUCT($E$6:$N$6,$E$9:$N$9))</f>
        <v>#DIV/0!</v>
      </c>
      <c r="U58" s="55" t="e" cm="1">
        <f t="array" ref="U58">$AC58*G$6*G$9/(SUMPRODUCT($E$6:$N$6,$E$9:$N$9))</f>
        <v>#DIV/0!</v>
      </c>
      <c r="V58" s="55" t="e" cm="1">
        <f t="array" ref="V58">$AC58*H$6*H$9/(SUMPRODUCT($E$6:$N$6,$E$9:$N$9))</f>
        <v>#DIV/0!</v>
      </c>
      <c r="W58" s="55" t="e" cm="1">
        <f t="array" ref="W58">$AC58*I$6*I$9/(SUMPRODUCT($E$6:$N$6,$E$9:$N$9))</f>
        <v>#DIV/0!</v>
      </c>
      <c r="X58" s="55" t="e" cm="1">
        <f t="array" ref="X58">$AC58*J$6*J$9/(SUMPRODUCT($E$6:$N$6,$E$9:$N$9))</f>
        <v>#DIV/0!</v>
      </c>
      <c r="Y58" s="55" t="e" cm="1">
        <f t="array" ref="Y58">$AC58*K$6*K$9/(SUMPRODUCT($E$6:$N$6,$E$9:$N$9))</f>
        <v>#DIV/0!</v>
      </c>
      <c r="Z58" s="55" t="e" cm="1">
        <f t="array" ref="Z58">$AC58*L$6*L$9/(SUMPRODUCT($E$6:$N$6,$E$9:$N$9))</f>
        <v>#DIV/0!</v>
      </c>
      <c r="AA58" s="55" t="e" cm="1">
        <f t="array" ref="AA58">$AC58*M$6*M$9/(SUMPRODUCT($E$6:$N$6,$E$9:$N$9))</f>
        <v>#DIV/0!</v>
      </c>
      <c r="AB58" s="55" t="e" cm="1">
        <f t="array" ref="AB58">$AC58*N$6*N$9/(SUMPRODUCT($E$6:$N$6,$E$9:$N$9))</f>
        <v>#DIV/0!</v>
      </c>
      <c r="AC58" s="55">
        <f>AC39*0.09/1.09</f>
        <v>0</v>
      </c>
      <c r="AD58" s="102" t="e">
        <f>AC60/AC61</f>
        <v>#DIV/0!</v>
      </c>
      <c r="AG58" s="53" t="s">
        <v>17</v>
      </c>
      <c r="AH58" s="54" t="s">
        <v>112</v>
      </c>
      <c r="AI58" s="65"/>
      <c r="AJ58" s="55" t="str">
        <f t="shared" ref="AJ58:AU58" si="72">IFERROR(AJ39*0.09/1.09,"")</f>
        <v/>
      </c>
      <c r="AK58" s="55" t="str">
        <f t="shared" si="72"/>
        <v/>
      </c>
      <c r="AL58" s="55" t="str">
        <f t="shared" si="72"/>
        <v/>
      </c>
      <c r="AM58" s="55" t="str">
        <f t="shared" si="72"/>
        <v/>
      </c>
      <c r="AN58" s="55" t="str">
        <f t="shared" si="72"/>
        <v/>
      </c>
      <c r="AO58" s="55" t="str">
        <f t="shared" si="72"/>
        <v/>
      </c>
      <c r="AP58" s="55" t="str">
        <f t="shared" si="72"/>
        <v/>
      </c>
      <c r="AQ58" s="55" t="str">
        <f t="shared" si="72"/>
        <v/>
      </c>
      <c r="AR58" s="55" t="str">
        <f t="shared" si="72"/>
        <v/>
      </c>
      <c r="AS58" s="55" t="str">
        <f t="shared" si="72"/>
        <v/>
      </c>
      <c r="AT58" s="55" t="str">
        <f t="shared" si="72"/>
        <v/>
      </c>
      <c r="AU58" s="55" t="str">
        <f t="shared" si="72"/>
        <v/>
      </c>
    </row>
    <row r="59" spans="16:47">
      <c r="Q59" s="64"/>
      <c r="R59" s="66" t="s">
        <v>115</v>
      </c>
      <c r="S59" s="57" t="e" cm="1">
        <f t="array" ref="S59">$AC59*E$6*E$9/(SUMPRODUCT($E$6:$N$6,$E$9:$N$9))</f>
        <v>#DIV/0!</v>
      </c>
      <c r="T59" s="57" t="e" cm="1">
        <f t="array" ref="T59">$AC59*F$6*F$9/(SUMPRODUCT($E$6:$N$6,$E$9:$N$9))</f>
        <v>#DIV/0!</v>
      </c>
      <c r="U59" s="57" t="e" cm="1">
        <f t="array" ref="U59">$AC59*G$6*G$9/(SUMPRODUCT($E$6:$N$6,$E$9:$N$9))</f>
        <v>#DIV/0!</v>
      </c>
      <c r="V59" s="57" t="e" cm="1">
        <f t="array" ref="V59">$AC59*H$6*H$9/(SUMPRODUCT($E$6:$N$6,$E$9:$N$9))</f>
        <v>#DIV/0!</v>
      </c>
      <c r="W59" s="57" t="e" cm="1">
        <f t="array" ref="W59">$AC59*I$6*I$9/(SUMPRODUCT($E$6:$N$6,$E$9:$N$9))</f>
        <v>#DIV/0!</v>
      </c>
      <c r="X59" s="57" t="e" cm="1">
        <f t="array" ref="X59">$AC59*J$6*J$9/(SUMPRODUCT($E$6:$N$6,$E$9:$N$9))</f>
        <v>#DIV/0!</v>
      </c>
      <c r="Y59" s="57" t="e" cm="1">
        <f t="array" ref="Y59">$AC59*K$6*K$9/(SUMPRODUCT($E$6:$N$6,$E$9:$N$9))</f>
        <v>#DIV/0!</v>
      </c>
      <c r="Z59" s="57" t="e" cm="1">
        <f t="array" ref="Z59">$AC59*L$6*L$9/(SUMPRODUCT($E$6:$N$6,$E$9:$N$9))</f>
        <v>#DIV/0!</v>
      </c>
      <c r="AA59" s="57" t="e" cm="1">
        <f t="array" ref="AA59">$AC59*M$6*M$9/(SUMPRODUCT($E$6:$N$6,$E$9:$N$9))</f>
        <v>#DIV/0!</v>
      </c>
      <c r="AB59" s="57" t="e" cm="1">
        <f t="array" ref="AB59">$AC59*N$6*N$9/(SUMPRODUCT($E$6:$N$6,$E$9:$N$9))</f>
        <v>#DIV/0!</v>
      </c>
      <c r="AC59" s="57" t="e">
        <f>(AC41+AC54+AC55)*0.13/1.13+AC46*0.06/1.06</f>
        <v>#DIV/0!</v>
      </c>
      <c r="AD59" s="103"/>
      <c r="AG59" s="28"/>
      <c r="AH59" s="56" t="s">
        <v>115</v>
      </c>
      <c r="AI59" s="57">
        <f>AI40*0.13/1.13</f>
        <v>0</v>
      </c>
      <c r="AJ59" s="57" t="str">
        <f t="shared" ref="AJ59:AU59" si="73">IFERROR((AJ41+AJ54+AJ55)*0.13/1.13+AJ46*0.06/1.06,"")</f>
        <v/>
      </c>
      <c r="AK59" s="57" t="str">
        <f t="shared" si="73"/>
        <v/>
      </c>
      <c r="AL59" s="57" t="str">
        <f t="shared" si="73"/>
        <v/>
      </c>
      <c r="AM59" s="57" t="str">
        <f t="shared" si="73"/>
        <v/>
      </c>
      <c r="AN59" s="57" t="str">
        <f t="shared" si="73"/>
        <v/>
      </c>
      <c r="AO59" s="57" t="str">
        <f t="shared" si="73"/>
        <v/>
      </c>
      <c r="AP59" s="57" t="str">
        <f t="shared" si="73"/>
        <v/>
      </c>
      <c r="AQ59" s="57" t="str">
        <f t="shared" si="73"/>
        <v/>
      </c>
      <c r="AR59" s="57" t="str">
        <f t="shared" si="73"/>
        <v/>
      </c>
      <c r="AS59" s="57" t="str">
        <f t="shared" si="73"/>
        <v/>
      </c>
      <c r="AT59" s="57" t="str">
        <f t="shared" si="73"/>
        <v/>
      </c>
      <c r="AU59" s="57" t="str">
        <f t="shared" si="73"/>
        <v/>
      </c>
    </row>
    <row r="60" spans="16:47">
      <c r="Q60" s="22"/>
      <c r="R60" s="23" t="s">
        <v>118</v>
      </c>
      <c r="S60" s="24" t="e">
        <f t="shared" ref="S60:AC60" si="74">MAX(0,S58-S59)</f>
        <v>#DIV/0!</v>
      </c>
      <c r="T60" s="24" t="e">
        <f t="shared" si="74"/>
        <v>#DIV/0!</v>
      </c>
      <c r="U60" s="24" t="e">
        <f t="shared" si="74"/>
        <v>#DIV/0!</v>
      </c>
      <c r="V60" s="24" t="e">
        <f t="shared" si="74"/>
        <v>#DIV/0!</v>
      </c>
      <c r="W60" s="24" t="e">
        <f t="shared" si="74"/>
        <v>#DIV/0!</v>
      </c>
      <c r="X60" s="24" t="e">
        <f t="shared" si="74"/>
        <v>#DIV/0!</v>
      </c>
      <c r="Y60" s="24" t="e">
        <f t="shared" si="74"/>
        <v>#DIV/0!</v>
      </c>
      <c r="Z60" s="24" t="e">
        <f t="shared" si="74"/>
        <v>#DIV/0!</v>
      </c>
      <c r="AA60" s="24" t="e">
        <f t="shared" si="74"/>
        <v>#DIV/0!</v>
      </c>
      <c r="AB60" s="24" t="e">
        <f t="shared" si="74"/>
        <v>#DIV/0!</v>
      </c>
      <c r="AC60" s="24" t="e">
        <f t="shared" si="74"/>
        <v>#DIV/0!</v>
      </c>
      <c r="AD60" s="104"/>
      <c r="AG60" s="22"/>
      <c r="AH60" s="50" t="s">
        <v>118</v>
      </c>
      <c r="AI60" s="24">
        <f>AI58-AI59</f>
        <v>0</v>
      </c>
      <c r="AJ60" s="24" t="str">
        <f t="shared" ref="AJ60:AU60" si="75">IFERROR(MAX(0,AJ58-AJ59),"")</f>
        <v/>
      </c>
      <c r="AK60" s="24" t="str">
        <f t="shared" si="75"/>
        <v/>
      </c>
      <c r="AL60" s="24" t="str">
        <f t="shared" si="75"/>
        <v/>
      </c>
      <c r="AM60" s="24" t="str">
        <f t="shared" si="75"/>
        <v/>
      </c>
      <c r="AN60" s="24" t="str">
        <f t="shared" si="75"/>
        <v/>
      </c>
      <c r="AO60" s="24" t="str">
        <f t="shared" si="75"/>
        <v/>
      </c>
      <c r="AP60" s="24" t="str">
        <f t="shared" si="75"/>
        <v/>
      </c>
      <c r="AQ60" s="24" t="str">
        <f t="shared" si="75"/>
        <v/>
      </c>
      <c r="AR60" s="24" t="str">
        <f t="shared" si="75"/>
        <v/>
      </c>
      <c r="AS60" s="24" t="str">
        <f t="shared" si="75"/>
        <v/>
      </c>
      <c r="AT60" s="24" t="str">
        <f t="shared" si="75"/>
        <v/>
      </c>
      <c r="AU60" s="24" t="str">
        <f t="shared" si="75"/>
        <v/>
      </c>
    </row>
    <row r="61" ht="16.5" spans="16:47">
      <c r="Q61" s="44" t="s">
        <v>138</v>
      </c>
      <c r="R61" s="44"/>
      <c r="S61" s="76" t="e">
        <f t="shared" ref="S61:AB61" si="76">SUM(S41:S57)+S60</f>
        <v>#DIV/0!</v>
      </c>
      <c r="T61" s="76" t="e">
        <f t="shared" si="76"/>
        <v>#DIV/0!</v>
      </c>
      <c r="U61" s="76" t="e">
        <f t="shared" si="76"/>
        <v>#DIV/0!</v>
      </c>
      <c r="V61" s="76" t="e">
        <f t="shared" si="76"/>
        <v>#DIV/0!</v>
      </c>
      <c r="W61" s="76" t="e">
        <f t="shared" si="76"/>
        <v>#DIV/0!</v>
      </c>
      <c r="X61" s="76" t="e">
        <f t="shared" si="76"/>
        <v>#DIV/0!</v>
      </c>
      <c r="Y61" s="76" t="e">
        <f t="shared" si="76"/>
        <v>#DIV/0!</v>
      </c>
      <c r="Z61" s="76" t="e">
        <f t="shared" si="76"/>
        <v>#DIV/0!</v>
      </c>
      <c r="AA61" s="76" t="e">
        <f t="shared" si="76"/>
        <v>#DIV/0!</v>
      </c>
      <c r="AB61" s="76" t="e">
        <f t="shared" si="76"/>
        <v>#DIV/0!</v>
      </c>
      <c r="AC61" s="77" t="e">
        <f>SUM(AC41:AC57)+MAX(0,AC58-AC59)</f>
        <v>#DIV/0!</v>
      </c>
      <c r="AD61" s="77"/>
      <c r="AG61" s="48" t="s">
        <v>121</v>
      </c>
      <c r="AH61" s="48"/>
      <c r="AI61" s="58">
        <f>-AI40+AI60</f>
        <v>0</v>
      </c>
      <c r="AJ61" s="58" t="str">
        <f t="shared" ref="AJ61:AU61" si="77">IFERROR(AJ39-SUM(AJ41:AJ57)-AJ60,"")</f>
        <v/>
      </c>
      <c r="AK61" s="58" t="str">
        <f t="shared" si="77"/>
        <v/>
      </c>
      <c r="AL61" s="58" t="str">
        <f t="shared" si="77"/>
        <v/>
      </c>
      <c r="AM61" s="58" t="str">
        <f t="shared" si="77"/>
        <v/>
      </c>
      <c r="AN61" s="58" t="str">
        <f t="shared" si="77"/>
        <v/>
      </c>
      <c r="AO61" s="58" t="str">
        <f t="shared" si="77"/>
        <v/>
      </c>
      <c r="AP61" s="58" t="str">
        <f t="shared" si="77"/>
        <v/>
      </c>
      <c r="AQ61" s="58" t="str">
        <f t="shared" si="77"/>
        <v/>
      </c>
      <c r="AR61" s="58" t="str">
        <f t="shared" si="77"/>
        <v/>
      </c>
      <c r="AS61" s="58" t="str">
        <f t="shared" si="77"/>
        <v/>
      </c>
      <c r="AT61" s="58" t="str">
        <f t="shared" si="77"/>
        <v/>
      </c>
      <c r="AU61" s="58" t="str">
        <f t="shared" si="77"/>
        <v/>
      </c>
    </row>
    <row r="62" ht="16.5" spans="16:47">
      <c r="Q62" s="69" t="s">
        <v>140</v>
      </c>
      <c r="R62" s="69"/>
      <c r="S62" s="58" t="e">
        <f t="shared" ref="S62:AB62" si="78">S40-S61</f>
        <v>#DIV/0!</v>
      </c>
      <c r="T62" s="58" t="e">
        <f t="shared" si="78"/>
        <v>#DIV/0!</v>
      </c>
      <c r="U62" s="58" t="e">
        <f t="shared" si="78"/>
        <v>#DIV/0!</v>
      </c>
      <c r="V62" s="58" t="e">
        <f t="shared" si="78"/>
        <v>#DIV/0!</v>
      </c>
      <c r="W62" s="58" t="e">
        <f t="shared" si="78"/>
        <v>#DIV/0!</v>
      </c>
      <c r="X62" s="58" t="e">
        <f t="shared" si="78"/>
        <v>#DIV/0!</v>
      </c>
      <c r="Y62" s="58" t="e">
        <f t="shared" si="78"/>
        <v>#DIV/0!</v>
      </c>
      <c r="Z62" s="58" t="e">
        <f t="shared" si="78"/>
        <v>#DIV/0!</v>
      </c>
      <c r="AA62" s="58" t="e">
        <f t="shared" si="78"/>
        <v>#DIV/0!</v>
      </c>
      <c r="AB62" s="58" t="e">
        <f t="shared" si="78"/>
        <v>#DIV/0!</v>
      </c>
      <c r="AC62" s="86" t="e">
        <f>AC39-AC61</f>
        <v>#DIV/0!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 t="str">
        <f>IF($E$3="纯租赁",IF(AJ38*12&lt;=$E$12,SUM($AI$61:AJ61),""),IF(AJ38*12&lt;=$E$28,SUM($AI$61:AJ61),""))</f>
        <v/>
      </c>
      <c r="AK62" s="58" t="str">
        <f>IF($E$3="纯租赁",IF(AK38*12&lt;=$E$12,SUM($AI$61:AK61),""),IF(AK38*12&lt;=$E$28,SUM($AI$61:AK61),""))</f>
        <v/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79">IF($E$3="纯租赁",S68+1,S68+1)</f>
        <v>2</v>
      </c>
      <c r="U68" s="87">
        <f t="shared" si="79"/>
        <v>3</v>
      </c>
      <c r="V68" s="87">
        <f t="shared" si="79"/>
        <v>4</v>
      </c>
      <c r="W68" s="87">
        <f t="shared" si="79"/>
        <v>5</v>
      </c>
      <c r="X68" s="87">
        <f t="shared" si="79"/>
        <v>6</v>
      </c>
      <c r="Y68" s="87">
        <f t="shared" si="79"/>
        <v>7</v>
      </c>
      <c r="Z68" s="87">
        <f t="shared" si="79"/>
        <v>8</v>
      </c>
      <c r="AA68" s="87">
        <f t="shared" si="79"/>
        <v>9</v>
      </c>
      <c r="AB68" s="87">
        <f t="shared" si="79"/>
        <v>10</v>
      </c>
      <c r="AC68" s="87">
        <f t="shared" si="79"/>
        <v>11</v>
      </c>
      <c r="AD68" s="87">
        <f t="shared" si="79"/>
        <v>12</v>
      </c>
    </row>
    <row r="69" spans="17:35">
      <c r="Q69" s="64" t="s">
        <v>13</v>
      </c>
      <c r="R69" s="35" t="s">
        <v>49</v>
      </c>
      <c r="S69" s="29" t="str" cm="1">
        <f t="array" ref="S69">IF($E$3="纯租赁",IF(S68*12&lt;=$E$12,$E$4*SUMPRODUCT($E$7:$N$7,$E$8:$N$8,$E$9:$N$9)*$E$10,""),$E$4*SUMPRODUCT($E$7:$N$7,$E$8:$N$8,$E$9:$N$9)*$E$10)</f>
        <v/>
      </c>
      <c r="T69" s="29" t="str" cm="1">
        <f t="array" ref="T69">IF($E$3="纯租赁",IF(T68*12&lt;=$E$12,$E$4*SUMPRODUCT($E$7:$N$7,$E$8:$N$8,$E$9:$N$9)*$E$10,""),$E$4*SUMPRODUCT($E$7:$N$7,$E$8:$N$8,$E$9:$N$9)*$E$10)</f>
        <v/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 t="str">
        <f t="shared" ref="S70:AD70" si="80">S69</f>
        <v/>
      </c>
      <c r="T70" s="76" t="str">
        <f t="shared" si="80"/>
        <v/>
      </c>
      <c r="U70" s="76" t="str">
        <f t="shared" si="80"/>
        <v/>
      </c>
      <c r="V70" s="76" t="str">
        <f t="shared" si="80"/>
        <v/>
      </c>
      <c r="W70" s="76" t="str">
        <f t="shared" si="80"/>
        <v/>
      </c>
      <c r="X70" s="76" t="str">
        <f t="shared" si="80"/>
        <v/>
      </c>
      <c r="Y70" s="76" t="str">
        <f t="shared" si="80"/>
        <v/>
      </c>
      <c r="Z70" s="76" t="str">
        <f t="shared" si="80"/>
        <v/>
      </c>
      <c r="AA70" s="76" t="str">
        <f t="shared" si="80"/>
        <v/>
      </c>
      <c r="AB70" s="76" t="str">
        <f t="shared" si="80"/>
        <v/>
      </c>
      <c r="AC70" s="76" t="str">
        <f t="shared" si="80"/>
        <v/>
      </c>
      <c r="AD70" s="76" t="str">
        <f t="shared" si="80"/>
        <v/>
      </c>
    </row>
    <row r="71" spans="17:35">
      <c r="Q71" s="28" t="s">
        <v>14</v>
      </c>
      <c r="R71" s="35" t="s">
        <v>79</v>
      </c>
      <c r="S71" s="29" t="str">
        <f>_xlfn.LET(_xlpm.a,$E$4*$E$13,_xlpm.b,$E$4*($E$11/MAX(36,S68*12)+$E$13),IF($E$3="纯租赁",IF(S68*12&lt;=$E$12,_xlpm.a*12,""),_xlpm.b*12))</f>
        <v/>
      </c>
      <c r="T71" s="29" t="str">
        <f>_xlfn.LET(_xlpm.a,$E$4*$E$13,_xlpm.b,$E$4*($E$11/MAX(36,T68*12)+$E$13),IF($E$3="纯租赁",IF(T68*12&lt;=$E$12,_xlpm.a*12,""),_xlpm.b*12))</f>
        <v/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 t="str">
        <f t="shared" ref="S72:AD72" si="81">IF($E$3="纯租赁",IF(S68*12&lt;=$E$12,$E$14*$E$4*12,""),$E$14*$E$4*12)</f>
        <v/>
      </c>
      <c r="T72" s="29" t="str">
        <f t="shared" si="81"/>
        <v/>
      </c>
      <c r="U72" s="29" t="str">
        <f t="shared" si="81"/>
        <v/>
      </c>
      <c r="V72" s="29" t="str">
        <f t="shared" si="81"/>
        <v/>
      </c>
      <c r="W72" s="29" t="str">
        <f t="shared" si="81"/>
        <v/>
      </c>
      <c r="X72" s="29" t="str">
        <f t="shared" si="81"/>
        <v/>
      </c>
      <c r="Y72" s="29" t="str">
        <f t="shared" si="81"/>
        <v/>
      </c>
      <c r="Z72" s="29" t="str">
        <f t="shared" si="81"/>
        <v/>
      </c>
      <c r="AA72" s="29" t="str">
        <f t="shared" si="81"/>
        <v/>
      </c>
      <c r="AB72" s="29" t="str">
        <f t="shared" si="81"/>
        <v/>
      </c>
      <c r="AC72" s="29" t="str">
        <f t="shared" si="81"/>
        <v/>
      </c>
      <c r="AD72" s="29" t="str">
        <f t="shared" si="81"/>
        <v/>
      </c>
    </row>
    <row r="73" spans="17:35">
      <c r="Q73" s="28"/>
      <c r="R73" s="35" t="s">
        <v>64</v>
      </c>
      <c r="S73" s="29" t="str">
        <f t="shared" ref="S73:AD73" si="82">IF($E$3="纯租赁",IF(S68*12&lt;=$E$12,$E$4*$E$15*12,""),$E$4*$E$15*12)</f>
        <v/>
      </c>
      <c r="T73" s="29" t="str">
        <f t="shared" si="82"/>
        <v/>
      </c>
      <c r="U73" s="29" t="str">
        <f t="shared" si="82"/>
        <v/>
      </c>
      <c r="V73" s="29" t="str">
        <f t="shared" si="82"/>
        <v/>
      </c>
      <c r="W73" s="29" t="str">
        <f t="shared" si="82"/>
        <v/>
      </c>
      <c r="X73" s="29" t="str">
        <f t="shared" si="82"/>
        <v/>
      </c>
      <c r="Y73" s="29" t="str">
        <f t="shared" si="82"/>
        <v/>
      </c>
      <c r="Z73" s="29" t="str">
        <f t="shared" si="82"/>
        <v/>
      </c>
      <c r="AA73" s="29" t="str">
        <f t="shared" si="82"/>
        <v/>
      </c>
      <c r="AB73" s="29" t="str">
        <f t="shared" si="82"/>
        <v/>
      </c>
      <c r="AC73" s="29" t="str">
        <f t="shared" si="82"/>
        <v/>
      </c>
      <c r="AD73" s="29" t="str">
        <f t="shared" si="82"/>
        <v/>
      </c>
    </row>
    <row r="74" spans="17:35">
      <c r="Q74" s="28"/>
      <c r="R74" s="35" t="s">
        <v>68</v>
      </c>
      <c r="S74" s="29" t="str">
        <f t="shared" ref="S74:AD74" si="83">IF($E$3="纯租赁",IF(S68*12&lt;=$E$12,$E$4*$E$16*12,""),$E$4*$E$16*12)</f>
        <v/>
      </c>
      <c r="T74" s="29" t="str">
        <f t="shared" si="83"/>
        <v/>
      </c>
      <c r="U74" s="29" t="str">
        <f t="shared" si="83"/>
        <v/>
      </c>
      <c r="V74" s="29" t="str">
        <f t="shared" si="83"/>
        <v/>
      </c>
      <c r="W74" s="29" t="str">
        <f t="shared" si="83"/>
        <v/>
      </c>
      <c r="X74" s="29" t="str">
        <f t="shared" si="83"/>
        <v/>
      </c>
      <c r="Y74" s="29" t="str">
        <f t="shared" si="83"/>
        <v/>
      </c>
      <c r="Z74" s="29" t="str">
        <f t="shared" si="83"/>
        <v/>
      </c>
      <c r="AA74" s="29" t="str">
        <f t="shared" si="83"/>
        <v/>
      </c>
      <c r="AB74" s="29" t="str">
        <f t="shared" si="83"/>
        <v/>
      </c>
      <c r="AC74" s="29" t="str">
        <f t="shared" si="83"/>
        <v/>
      </c>
      <c r="AD74" s="29" t="str">
        <f t="shared" si="83"/>
        <v/>
      </c>
    </row>
    <row r="75" spans="17:35">
      <c r="Q75" s="28"/>
      <c r="R75" s="35" t="s">
        <v>71</v>
      </c>
      <c r="S75" s="29" t="str">
        <f t="shared" ref="S75:AD75" si="84">IF($E$3="纯租赁",IF(S68*12&lt;=$E$12,$E$4*$E$17*12,""),$E$4*$E$17*12)</f>
        <v/>
      </c>
      <c r="T75" s="29" t="str">
        <f t="shared" si="84"/>
        <v/>
      </c>
      <c r="U75" s="29" t="str">
        <f t="shared" si="84"/>
        <v/>
      </c>
      <c r="V75" s="29" t="str">
        <f t="shared" si="84"/>
        <v/>
      </c>
      <c r="W75" s="29" t="str">
        <f t="shared" si="84"/>
        <v/>
      </c>
      <c r="X75" s="29" t="str">
        <f t="shared" si="84"/>
        <v/>
      </c>
      <c r="Y75" s="29" t="str">
        <f t="shared" si="84"/>
        <v/>
      </c>
      <c r="Z75" s="29" t="str">
        <f t="shared" si="84"/>
        <v/>
      </c>
      <c r="AA75" s="29" t="str">
        <f t="shared" si="84"/>
        <v/>
      </c>
      <c r="AB75" s="29" t="str">
        <f t="shared" si="84"/>
        <v/>
      </c>
      <c r="AC75" s="29" t="str">
        <f t="shared" si="84"/>
        <v/>
      </c>
      <c r="AD75" s="29" t="str">
        <f t="shared" si="84"/>
        <v/>
      </c>
    </row>
    <row r="76" spans="17:35">
      <c r="Q76" s="28"/>
      <c r="R76" s="35" t="s">
        <v>74</v>
      </c>
      <c r="S76" s="29" t="str">
        <f t="shared" ref="S76:AD76" si="85">IF($E$3="纯租赁",IF(S68*12&lt;=$E$12,$E$4*$E$18*12,""),$E$4*$E$18*12)</f>
        <v/>
      </c>
      <c r="T76" s="29" t="str">
        <f t="shared" si="85"/>
        <v/>
      </c>
      <c r="U76" s="29" t="str">
        <f t="shared" si="85"/>
        <v/>
      </c>
      <c r="V76" s="29" t="str">
        <f t="shared" si="85"/>
        <v/>
      </c>
      <c r="W76" s="29" t="str">
        <f t="shared" si="85"/>
        <v/>
      </c>
      <c r="X76" s="29" t="str">
        <f t="shared" si="85"/>
        <v/>
      </c>
      <c r="Y76" s="29" t="str">
        <f t="shared" si="85"/>
        <v/>
      </c>
      <c r="Z76" s="29" t="str">
        <f t="shared" si="85"/>
        <v/>
      </c>
      <c r="AA76" s="29" t="str">
        <f t="shared" si="85"/>
        <v/>
      </c>
      <c r="AB76" s="29" t="str">
        <f t="shared" si="85"/>
        <v/>
      </c>
      <c r="AC76" s="29" t="str">
        <f t="shared" si="85"/>
        <v/>
      </c>
      <c r="AD76" s="29" t="str">
        <f t="shared" si="85"/>
        <v/>
      </c>
    </row>
    <row r="77" spans="17:35">
      <c r="Q77" s="28"/>
      <c r="R77" s="35" t="s">
        <v>78</v>
      </c>
      <c r="S77" s="29" t="str">
        <f t="shared" ref="S77:AD77" si="86">IF($E$3="纯租赁",IF(S68*12&lt;=$E$12,$E$4*$E$19*12,""),$E$4*$E$19*12)</f>
        <v/>
      </c>
      <c r="T77" s="29" t="str">
        <f t="shared" si="86"/>
        <v/>
      </c>
      <c r="U77" s="29" t="str">
        <f t="shared" si="86"/>
        <v/>
      </c>
      <c r="V77" s="29" t="str">
        <f t="shared" si="86"/>
        <v/>
      </c>
      <c r="W77" s="29" t="str">
        <f t="shared" si="86"/>
        <v/>
      </c>
      <c r="X77" s="29" t="str">
        <f t="shared" si="86"/>
        <v/>
      </c>
      <c r="Y77" s="29" t="str">
        <f t="shared" si="86"/>
        <v/>
      </c>
      <c r="Z77" s="29" t="str">
        <f t="shared" si="86"/>
        <v/>
      </c>
      <c r="AA77" s="29" t="str">
        <f t="shared" si="86"/>
        <v/>
      </c>
      <c r="AB77" s="29" t="str">
        <f t="shared" si="86"/>
        <v/>
      </c>
      <c r="AC77" s="29" t="str">
        <f t="shared" si="86"/>
        <v/>
      </c>
      <c r="AD77" s="29" t="str">
        <f t="shared" si="86"/>
        <v/>
      </c>
    </row>
    <row r="78" spans="17:35">
      <c r="Q78" s="28"/>
      <c r="R78" s="35" t="s">
        <v>82</v>
      </c>
      <c r="S78" s="29" t="str">
        <f t="shared" ref="S78:AD78" si="87">IF($E$3="纯租赁",IF(S68*12&lt;=$E$12,$E$4*$E$20*12,""),$E$4*$E$20*12)</f>
        <v/>
      </c>
      <c r="T78" s="29" t="str">
        <f t="shared" si="87"/>
        <v/>
      </c>
      <c r="U78" s="29" t="str">
        <f t="shared" si="87"/>
        <v/>
      </c>
      <c r="V78" s="29" t="str">
        <f t="shared" si="87"/>
        <v/>
      </c>
      <c r="W78" s="29" t="str">
        <f t="shared" si="87"/>
        <v/>
      </c>
      <c r="X78" s="29" t="str">
        <f t="shared" si="87"/>
        <v/>
      </c>
      <c r="Y78" s="29" t="str">
        <f t="shared" si="87"/>
        <v/>
      </c>
      <c r="Z78" s="29" t="str">
        <f t="shared" si="87"/>
        <v/>
      </c>
      <c r="AA78" s="29" t="str">
        <f t="shared" si="87"/>
        <v/>
      </c>
      <c r="AB78" s="29" t="str">
        <f t="shared" si="87"/>
        <v/>
      </c>
      <c r="AC78" s="29" t="str">
        <f t="shared" si="87"/>
        <v/>
      </c>
      <c r="AD78" s="29" t="str">
        <f t="shared" si="87"/>
        <v/>
      </c>
    </row>
    <row r="79" spans="17:35">
      <c r="Q79" s="28"/>
      <c r="R79" s="23" t="s">
        <v>85</v>
      </c>
      <c r="S79" s="24" t="str">
        <f t="shared" ref="S79:AD79" si="88">IF($E$3="纯租赁",IF(S68*12&lt;=$E$12,$E$4*$E$21*12,""),$E$4*$E$21*12)</f>
        <v/>
      </c>
      <c r="T79" s="24" t="str">
        <f t="shared" si="88"/>
        <v/>
      </c>
      <c r="U79" s="24" t="str">
        <f t="shared" si="88"/>
        <v/>
      </c>
      <c r="V79" s="24" t="str">
        <f t="shared" si="88"/>
        <v/>
      </c>
      <c r="W79" s="24" t="str">
        <f t="shared" si="88"/>
        <v/>
      </c>
      <c r="X79" s="24" t="str">
        <f t="shared" si="88"/>
        <v/>
      </c>
      <c r="Y79" s="24" t="str">
        <f t="shared" si="88"/>
        <v/>
      </c>
      <c r="Z79" s="24" t="str">
        <f t="shared" si="88"/>
        <v/>
      </c>
      <c r="AA79" s="24" t="str">
        <f t="shared" si="88"/>
        <v/>
      </c>
      <c r="AB79" s="24" t="str">
        <f t="shared" si="88"/>
        <v/>
      </c>
      <c r="AC79" s="24" t="str">
        <f t="shared" si="88"/>
        <v/>
      </c>
      <c r="AD79" s="24" t="str">
        <f t="shared" si="88"/>
        <v/>
      </c>
    </row>
    <row r="80" spans="17:35">
      <c r="Q80" s="53" t="s">
        <v>15</v>
      </c>
      <c r="R80" s="35" t="s">
        <v>88</v>
      </c>
      <c r="S80" s="29" t="str" cm="1">
        <f t="array" ref="S80">IF($E$3="纯租赁",IF(S68*12&lt;=$E$12,$E$4*SUMPRODUCT($E$9:$N$9,$E$22:$N$22)*$E$10,""),$E$4*SUMPRODUCT($E$9:$N$9,$E$22:$N$22)*$E$10)</f>
        <v/>
      </c>
      <c r="T80" s="29" t="str" cm="1">
        <f t="array" ref="T80">IF($E$3="纯租赁",IF(T68*12&lt;=$E$12,$E$4*SUMPRODUCT($E$9:$N$9,$E$22:$N$22)*$E$10,""),$E$4*SUMPRODUCT($E$9:$N$9,$E$22:$N$22)*$E$10)</f>
        <v/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t="str" cm="1">
        <f t="array" ref="S81">IF($E$3="纯租赁",IF(S68*12&lt;=$E$12,$E$4*SUMPRODUCT($E$9:$N$9,$E$23:$N$23)*$E$10,""),$E$4*SUMPRODUCT($E$9:$N$9,$E$23:$N$23)*$E$10)</f>
        <v/>
      </c>
      <c r="T81" s="29" t="str" cm="1">
        <f t="array" ref="T81">IF($E$3="纯租赁",IF(T68*12&lt;=$E$12,$E$4*SUMPRODUCT($E$9:$N$9,$E$23:$N$23)*$E$10,""),$E$4*SUMPRODUCT($E$9:$N$9,$E$23:$N$23)*$E$10)</f>
        <v/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t="str" cm="1">
        <f t="array" ref="S82">IF($E$3="纯租赁",IF(S68*12&lt;=$E$12,$E$4*$E$10*SUMPRODUCT($E$9:$N$9,$E$24:$N$24),""),$E$4*$E$10*SUMPRODUCT($E$9:$N$9,$E$24:$N$24))</f>
        <v/>
      </c>
      <c r="T82" s="29" t="str" cm="1">
        <f t="array" ref="T82">IF($E$3="纯租赁",IF(T68*12&lt;=$E$12,$E$4*$E$10*SUMPRODUCT($E$9:$N$9,$E$24:$N$24),""),$E$4*$E$10*SUMPRODUCT($E$9:$N$9,$E$24:$N$24))</f>
        <v/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t="str" cm="1">
        <f t="array" ref="S83">IF($E$3="纯租赁",IF(S68*12&lt;=$E$12,$E$4*$E$10*SUMPRODUCT($E$25:$N$25,$E$9:$N$9),""),$E$4*$E$10*SUMPRODUCT($E$25:$N$25,$E$9:$N$9))</f>
        <v/>
      </c>
      <c r="T83" s="29" t="str" cm="1">
        <f t="array" ref="T83">IF($E$3="纯租赁",IF(T68*12&lt;=$E$12,$E$4*$E$10*SUMPRODUCT($E$25:$N$25,$E$9:$N$9),""),$E$4*$E$10*SUMPRODUCT($E$25:$N$25,$E$9:$N$9))</f>
        <v/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t="str" cm="1">
        <f t="array" ref="S84">IF($E$3="纯租赁",IF(S68*12&lt;=$E$12,$E$4*$E$5*$E$10*SUMPRODUCT(IF($E$8:$N$8,$E$32,$E$33),$E$6:$N$6,$E$9:$N$9),""),$E$4*$E$5*$E$10*SUMPRODUCT(IF($E$8:$N$8,$E$32,$E$33),$E$6:$N$6,$E$9:$N$9))</f>
        <v/>
      </c>
      <c r="T84" s="29" t="str" cm="1">
        <f t="array" ref="T84">IF($E$3="纯租赁",IF(T68*12&lt;=$E$12,$E$4*$E$5*$E$10*SUMPRODUCT(IF($E$8:$N$8,$E$32,$E$33),$E$6:$N$6,$E$9:$N$9),""),$E$4*$E$5*$E$10*SUMPRODUCT(IF($E$8:$N$8,$E$32,$E$33),$E$6:$N$6,$E$9:$N$9))</f>
        <v/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t="str" cm="1">
        <f t="array" ref="S85">IF($E$3="纯租赁",IF(S68*12&lt;=$E$12,SUMPRODUCT($E$6:$N$6,$E$9:$N$9)*$E$10/$E$29*$E$30*$E$4*$E$31,""),SUMPRODUCT($E$6:$N$6,$E$9:$N$9)*$E$10/$E$29*$E$30*$E$4*$E$31)</f>
        <v/>
      </c>
      <c r="T85" s="24" t="str" cm="1">
        <f t="array" ref="T85">IF($E$3="纯租赁",IF(T68*12&lt;=$E$12,SUMPRODUCT($E$6:$N$6,$E$9:$N$9)*$E$10/$E$29*$E$30*$E$4*$E$31,""),SUMPRODUCT($E$6:$N$6,$E$9:$N$9)*$E$10/$E$29*$E$30*$E$4*$E$31)</f>
        <v/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 t="str">
        <f t="shared" ref="S86:AD86" si="89">IFERROR(S69*$E$34/12*$E$26,"")</f>
        <v/>
      </c>
      <c r="T86" s="29" t="str">
        <f t="shared" si="89"/>
        <v/>
      </c>
      <c r="U86" s="29" t="str">
        <f t="shared" si="89"/>
        <v/>
      </c>
      <c r="V86" s="29" t="str">
        <f t="shared" si="89"/>
        <v/>
      </c>
      <c r="W86" s="29" t="str">
        <f t="shared" si="89"/>
        <v/>
      </c>
      <c r="X86" s="29" t="str">
        <f t="shared" si="89"/>
        <v/>
      </c>
      <c r="Y86" s="29" t="str">
        <f t="shared" si="89"/>
        <v/>
      </c>
      <c r="Z86" s="29" t="str">
        <f t="shared" si="89"/>
        <v/>
      </c>
      <c r="AA86" s="29" t="str">
        <f t="shared" si="89"/>
        <v/>
      </c>
      <c r="AB86" s="29" t="str">
        <f t="shared" si="89"/>
        <v/>
      </c>
      <c r="AC86" s="29" t="str">
        <f t="shared" si="89"/>
        <v/>
      </c>
      <c r="AD86" s="29" t="str">
        <f t="shared" si="89"/>
        <v/>
      </c>
    </row>
    <row r="87" spans="17:30">
      <c r="Q87" s="64"/>
      <c r="R87" s="35" t="s">
        <v>109</v>
      </c>
      <c r="S87" s="29" t="str">
        <f t="shared" ref="S87:AD87" si="90">IF($E$3="纯租赁",IF(S68*12&lt;=$E$12,($E$4*$E$13*12+SUM(S72:S85))*$E$35/12*$E$27,""),($E$4*$E$13*12+SUM(S72:S85))*$E$35/12*$E$27)</f>
        <v/>
      </c>
      <c r="T87" s="29" t="str">
        <f t="shared" si="90"/>
        <v/>
      </c>
      <c r="U87" s="29" t="str">
        <f t="shared" si="90"/>
        <v/>
      </c>
      <c r="V87" s="29" t="str">
        <f t="shared" si="90"/>
        <v/>
      </c>
      <c r="W87" s="29" t="str">
        <f t="shared" si="90"/>
        <v/>
      </c>
      <c r="X87" s="29" t="str">
        <f t="shared" si="90"/>
        <v/>
      </c>
      <c r="Y87" s="29" t="str">
        <f t="shared" si="90"/>
        <v/>
      </c>
      <c r="Z87" s="29" t="str">
        <f t="shared" si="90"/>
        <v/>
      </c>
      <c r="AA87" s="29" t="str">
        <f t="shared" si="90"/>
        <v/>
      </c>
      <c r="AB87" s="29" t="str">
        <f t="shared" si="90"/>
        <v/>
      </c>
      <c r="AC87" s="29" t="str">
        <f t="shared" si="90"/>
        <v/>
      </c>
      <c r="AD87" s="29" t="str">
        <f t="shared" si="90"/>
        <v/>
      </c>
    </row>
    <row r="88" spans="17:30">
      <c r="Q88" s="53" t="s">
        <v>17</v>
      </c>
      <c r="R88" s="65" t="s">
        <v>112</v>
      </c>
      <c r="S88" s="55" t="str">
        <f t="shared" ref="S88:AD88" si="91">IFERROR(S69*0.09/1.09,"")</f>
        <v/>
      </c>
      <c r="T88" s="55" t="str">
        <f t="shared" si="91"/>
        <v/>
      </c>
      <c r="U88" s="55" t="str">
        <f t="shared" si="91"/>
        <v/>
      </c>
      <c r="V88" s="55" t="str">
        <f t="shared" si="91"/>
        <v/>
      </c>
      <c r="W88" s="55" t="str">
        <f t="shared" si="91"/>
        <v/>
      </c>
      <c r="X88" s="55" t="str">
        <f t="shared" si="91"/>
        <v/>
      </c>
      <c r="Y88" s="55" t="str">
        <f t="shared" si="91"/>
        <v/>
      </c>
      <c r="Z88" s="55" t="str">
        <f t="shared" si="91"/>
        <v/>
      </c>
      <c r="AA88" s="55" t="str">
        <f t="shared" si="91"/>
        <v/>
      </c>
      <c r="AB88" s="55" t="str">
        <f t="shared" si="91"/>
        <v/>
      </c>
      <c r="AC88" s="55" t="str">
        <f t="shared" si="91"/>
        <v/>
      </c>
      <c r="AD88" s="55" t="str">
        <f t="shared" si="91"/>
        <v/>
      </c>
    </row>
    <row r="89" spans="17:30">
      <c r="Q89" s="64"/>
      <c r="R89" s="66" t="s">
        <v>115</v>
      </c>
      <c r="S89" s="57" t="str">
        <f t="shared" ref="S89:AD89" si="92">IFERROR((S71+S84+S85)*0.13/1.13+S76*0.06/1.06,"")</f>
        <v/>
      </c>
      <c r="T89" s="57" t="str">
        <f t="shared" si="92"/>
        <v/>
      </c>
      <c r="U89" s="57" t="str">
        <f t="shared" si="92"/>
        <v/>
      </c>
      <c r="V89" s="57" t="str">
        <f t="shared" si="92"/>
        <v/>
      </c>
      <c r="W89" s="57" t="str">
        <f t="shared" si="92"/>
        <v/>
      </c>
      <c r="X89" s="57" t="str">
        <f t="shared" si="92"/>
        <v/>
      </c>
      <c r="Y89" s="57" t="str">
        <f t="shared" si="92"/>
        <v/>
      </c>
      <c r="Z89" s="57" t="str">
        <f t="shared" si="92"/>
        <v/>
      </c>
      <c r="AA89" s="57" t="str">
        <f t="shared" si="92"/>
        <v/>
      </c>
      <c r="AB89" s="57" t="str">
        <f t="shared" si="92"/>
        <v/>
      </c>
      <c r="AC89" s="57" t="str">
        <f t="shared" si="92"/>
        <v/>
      </c>
      <c r="AD89" s="57" t="str">
        <f t="shared" si="92"/>
        <v/>
      </c>
    </row>
    <row r="90" spans="17:30">
      <c r="Q90" s="22"/>
      <c r="R90" s="23" t="s">
        <v>118</v>
      </c>
      <c r="S90" s="24" t="str">
        <f t="shared" ref="S90:AD90" si="93">IFERROR(MAX(0,S88-S89),"")</f>
        <v/>
      </c>
      <c r="T90" s="24" t="str">
        <f t="shared" si="93"/>
        <v/>
      </c>
      <c r="U90" s="24" t="str">
        <f t="shared" si="93"/>
        <v/>
      </c>
      <c r="V90" s="24" t="str">
        <f t="shared" si="93"/>
        <v/>
      </c>
      <c r="W90" s="24" t="str">
        <f t="shared" si="93"/>
        <v/>
      </c>
      <c r="X90" s="24" t="str">
        <f t="shared" si="93"/>
        <v/>
      </c>
      <c r="Y90" s="24" t="str">
        <f t="shared" si="93"/>
        <v/>
      </c>
      <c r="Z90" s="24" t="str">
        <f t="shared" si="93"/>
        <v/>
      </c>
      <c r="AA90" s="24" t="str">
        <f t="shared" si="93"/>
        <v/>
      </c>
      <c r="AB90" s="24" t="str">
        <f t="shared" si="93"/>
        <v/>
      </c>
      <c r="AC90" s="24" t="str">
        <f t="shared" si="93"/>
        <v/>
      </c>
      <c r="AD90" s="24" t="str">
        <f t="shared" si="93"/>
        <v/>
      </c>
    </row>
    <row r="91" ht="16.5" spans="17:30">
      <c r="Q91" s="44" t="s">
        <v>138</v>
      </c>
      <c r="R91" s="44"/>
      <c r="S91" s="76" t="str">
        <f t="shared" ref="S91:AD91" si="94">IFERROR(SUM(S71:S87)+S90,"")</f>
        <v/>
      </c>
      <c r="T91" s="76" t="str">
        <f t="shared" si="94"/>
        <v/>
      </c>
      <c r="U91" s="76" t="str">
        <f t="shared" si="94"/>
        <v/>
      </c>
      <c r="V91" s="76" t="str">
        <f t="shared" si="94"/>
        <v/>
      </c>
      <c r="W91" s="76" t="str">
        <f t="shared" si="94"/>
        <v/>
      </c>
      <c r="X91" s="76" t="str">
        <f t="shared" si="94"/>
        <v/>
      </c>
      <c r="Y91" s="76" t="str">
        <f t="shared" si="94"/>
        <v/>
      </c>
      <c r="Z91" s="76" t="str">
        <f t="shared" si="94"/>
        <v/>
      </c>
      <c r="AA91" s="76" t="str">
        <f t="shared" si="94"/>
        <v/>
      </c>
      <c r="AB91" s="76" t="str">
        <f t="shared" si="94"/>
        <v/>
      </c>
      <c r="AC91" s="76" t="str">
        <f t="shared" si="94"/>
        <v/>
      </c>
      <c r="AD91" s="76" t="str">
        <f t="shared" si="94"/>
        <v/>
      </c>
    </row>
    <row r="92" ht="16.5" spans="17:30">
      <c r="Q92" s="69" t="s">
        <v>140</v>
      </c>
      <c r="R92" s="69"/>
      <c r="S92" s="58" t="str">
        <f t="shared" ref="S92:AD92" si="95">IFERROR(S69-S91,"")</f>
        <v/>
      </c>
      <c r="T92" s="58" t="str">
        <f t="shared" si="95"/>
        <v/>
      </c>
      <c r="U92" s="58" t="str">
        <f t="shared" si="95"/>
        <v/>
      </c>
      <c r="V92" s="58" t="str">
        <f t="shared" si="95"/>
        <v/>
      </c>
      <c r="W92" s="58" t="str">
        <f t="shared" si="95"/>
        <v/>
      </c>
      <c r="X92" s="58" t="str">
        <f t="shared" si="95"/>
        <v/>
      </c>
      <c r="Y92" s="58" t="str">
        <f t="shared" si="95"/>
        <v/>
      </c>
      <c r="Z92" s="58" t="str">
        <f t="shared" si="95"/>
        <v/>
      </c>
      <c r="AA92" s="58" t="str">
        <f t="shared" si="95"/>
        <v/>
      </c>
      <c r="AB92" s="58" t="str">
        <f t="shared" si="95"/>
        <v/>
      </c>
      <c r="AC92" s="58" t="str">
        <f t="shared" si="95"/>
        <v/>
      </c>
      <c r="AD92" s="58" t="str">
        <f t="shared" si="95"/>
        <v/>
      </c>
    </row>
    <row r="93" spans="17:30">
      <c r="Q93" s="1" t="s">
        <v>133</v>
      </c>
    </row>
  </sheetData>
  <sheetProtection formatCells="0" formatColumns="0" formatRows="0"/>
  <protectedRanges>
    <protectedRange sqref="E2:N35 Q3:Q12 Q18:Q27 S38:AB38 AX3:AX7 AZ3:AZ7" name="区域1"/>
  </protectedRanges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3"/>
  <sheetViews>
    <sheetView showGridLines="0" topLeftCell="A28" workbookViewId="0">
      <selection activeCell="AD58" sqref="AD58:AD60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9" width="10" style="1" customWidth="1"/>
    <col min="10" max="13" width="10" style="1" hidden="1" customWidth="1"/>
    <col min="14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X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8" t="s">
        <v>20</v>
      </c>
      <c r="F2" s="88" t="s">
        <v>22</v>
      </c>
      <c r="G2" s="88" t="s">
        <v>24</v>
      </c>
      <c r="H2" s="88" t="s">
        <v>25</v>
      </c>
      <c r="I2" s="88" t="s">
        <v>26</v>
      </c>
      <c r="J2" s="88" t="s">
        <v>27</v>
      </c>
      <c r="K2" s="88" t="s">
        <v>28</v>
      </c>
      <c r="L2" s="88" t="s">
        <v>29</v>
      </c>
      <c r="M2" s="88" t="s">
        <v>30</v>
      </c>
      <c r="N2" s="8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89" t="s">
        <v>48</v>
      </c>
      <c r="F3" s="89"/>
      <c r="G3" s="89"/>
      <c r="H3" s="89"/>
      <c r="I3" s="89"/>
      <c r="J3" s="89"/>
      <c r="K3" s="89"/>
      <c r="L3" s="89"/>
      <c r="M3" s="89"/>
      <c r="N3" s="89"/>
      <c r="Q3" s="90" t="s">
        <v>20</v>
      </c>
      <c r="R3" s="20" t="e">
        <f t="shared" ref="R3:W3" si="0">R18/$E$4</f>
        <v>#DIV/0!</v>
      </c>
      <c r="S3" s="20" t="e">
        <f t="shared" si="0"/>
        <v>#DIV/0!</v>
      </c>
      <c r="T3" s="20" t="e">
        <f t="shared" si="0"/>
        <v>#DIV/0!</v>
      </c>
      <c r="U3" s="20" t="e">
        <f t="shared" si="0"/>
        <v>#DIV/0!</v>
      </c>
      <c r="V3" s="20" t="e">
        <f t="shared" si="0"/>
        <v>#DIV/0!</v>
      </c>
      <c r="W3" s="20" t="e">
        <f t="shared" si="0"/>
        <v>#DIV/0!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0</v>
      </c>
      <c r="AK3" s="24" cm="1">
        <f t="array" ref="AK3">IF(AK2&lt;=$E$10,$E$4*SUMPRODUCT($E$7:$N$7,$E$8:$N$8,$E$9:$N$9),0)</f>
        <v>0</v>
      </c>
      <c r="AL3" s="24" cm="1">
        <f t="array" ref="AL3">IF(AL2&lt;=$E$10,$E$4*SUMPRODUCT($E$7:$N$7,$E$8:$N$8,$E$9:$N$9),0)</f>
        <v>0</v>
      </c>
      <c r="AM3" s="24" cm="1">
        <f t="array" ref="AM3">IF(AM2&lt;=$E$10,$E$4*SUMPRODUCT($E$7:$N$7,$E$8:$N$8,$E$9:$N$9),0)</f>
        <v>0</v>
      </c>
      <c r="AN3" s="24" cm="1">
        <f t="array" ref="AN3">IF(AN2&lt;=$E$10,$E$4*SUMPRODUCT($E$7:$N$7,$E$8:$N$8,$E$9:$N$9),0)</f>
        <v>0</v>
      </c>
      <c r="AO3" s="24" cm="1">
        <f t="array" ref="AO3">IF(AO2&lt;=$E$10,$E$4*SUMPRODUCT($E$7:$N$7,$E$8:$N$8,$E$9:$N$9),0)</f>
        <v>0</v>
      </c>
      <c r="AP3" s="24" cm="1">
        <f t="array" ref="AP3">IF(AP2&lt;=$E$10,$E$4*SUMPRODUCT($E$7:$N$7,$E$8:$N$8,$E$9:$N$9),0)</f>
        <v>0</v>
      </c>
      <c r="AQ3" s="24" cm="1">
        <f t="array" ref="AQ3">IF(AQ2&lt;=$E$10,$E$4*SUMPRODUCT($E$7:$N$7,$E$8:$N$8,$E$9:$N$9),0)</f>
        <v>0</v>
      </c>
      <c r="AR3" s="24" cm="1">
        <f t="array" ref="AR3">IF(AR2&lt;=$E$10,$E$4*SUMPRODUCT($E$7:$N$7,$E$8:$N$8,$E$9:$N$9),0)</f>
        <v>0</v>
      </c>
      <c r="AS3" s="24" cm="1">
        <f t="array" ref="AS3">IF(AS2&lt;=$E$10,$E$4*SUMPRODUCT($E$7:$N$7,$E$8:$N$8,$E$9:$N$9),0)</f>
        <v>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91"/>
      <c r="AY3" s="1" t="s">
        <v>51</v>
      </c>
      <c r="AZ3" s="92">
        <v>0.02</v>
      </c>
      <c r="BA3" s="2">
        <f t="shared" ref="BA3:BE3" si="1">IF($AX3="✔",$BF3+BA$2*$AZ3,$BF3)</f>
        <v>0</v>
      </c>
      <c r="BB3" s="2">
        <f t="shared" si="1"/>
        <v>0</v>
      </c>
      <c r="BC3" s="2">
        <f t="shared" si="1"/>
        <v>0</v>
      </c>
      <c r="BD3" s="2">
        <f t="shared" si="1"/>
        <v>0</v>
      </c>
      <c r="BE3" s="2">
        <f t="shared" si="1"/>
        <v>0</v>
      </c>
      <c r="BF3" s="2">
        <f>$E$5</f>
        <v>0</v>
      </c>
      <c r="BG3" s="2">
        <f t="shared" ref="BG3:BK3" si="2">IF($AX3="✔",$BF3+BG$2*$AZ3,$BF3)</f>
        <v>0</v>
      </c>
      <c r="BH3" s="2">
        <f t="shared" si="2"/>
        <v>0</v>
      </c>
      <c r="BI3" s="2">
        <f t="shared" si="2"/>
        <v>0</v>
      </c>
      <c r="BJ3" s="2">
        <f t="shared" si="2"/>
        <v>0</v>
      </c>
      <c r="BK3" s="2">
        <f t="shared" si="2"/>
        <v>0</v>
      </c>
    </row>
    <row r="4" s="1" customFormat="1" spans="1:63">
      <c r="A4" s="15"/>
      <c r="B4" s="16" t="s">
        <v>52</v>
      </c>
      <c r="C4" s="17" t="s">
        <v>53</v>
      </c>
      <c r="D4" s="17"/>
      <c r="E4" s="93"/>
      <c r="F4" s="93"/>
      <c r="G4" s="93"/>
      <c r="H4" s="93"/>
      <c r="I4" s="93"/>
      <c r="J4" s="93"/>
      <c r="K4" s="93"/>
      <c r="L4" s="93"/>
      <c r="M4" s="93"/>
      <c r="N4" s="93"/>
      <c r="Q4" s="90" t="s">
        <v>22</v>
      </c>
      <c r="R4" s="20" t="e">
        <f t="shared" ref="R4:W4" si="3">R19/$E$4</f>
        <v>#DIV/0!</v>
      </c>
      <c r="S4" s="20" t="e">
        <f t="shared" si="3"/>
        <v>#DIV/0!</v>
      </c>
      <c r="T4" s="20" t="e">
        <f t="shared" si="3"/>
        <v>#DIV/0!</v>
      </c>
      <c r="U4" s="20" t="e">
        <f t="shared" si="3"/>
        <v>#DIV/0!</v>
      </c>
      <c r="V4" s="20" t="e">
        <f t="shared" si="3"/>
        <v>#DIV/0!</v>
      </c>
      <c r="W4" s="20" t="e">
        <f t="shared" si="3"/>
        <v>#DIV/0!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91"/>
      <c r="AY4" s="1" t="s">
        <v>55</v>
      </c>
      <c r="AZ4" s="92">
        <v>2</v>
      </c>
      <c r="BA4" s="30" t="str" cm="1">
        <f t="array" ref="BA4">IF($AX4="✔",_xlfn.TEXTJOIN(",",TRUE,IF($E$7:$N$7&lt;&gt;"",$E$2:$N$2&amp;":"&amp;$E$7:$N$7+BA$2*$AZ4,"")),$BF$4)</f>
        <v/>
      </c>
      <c r="BB4" s="30" t="str" cm="1">
        <f t="array" ref="BB4">IF($AX4="✔",_xlfn.TEXTJOIN(",",TRUE,IF($E$7:$N$7&lt;&gt;"",$E$2:$N$2&amp;":"&amp;$E$7:$N$7+BB$2*$AZ4,"")),$BF$4)</f>
        <v/>
      </c>
      <c r="BC4" s="30" t="str" cm="1">
        <f t="array" ref="BC4">IF($AX4="✔",_xlfn.TEXTJOIN(",",TRUE,IF($E$7:$N$7&lt;&gt;"",$E$2:$N$2&amp;":"&amp;$E$7:$N$7+BC$2*$AZ4,"")),$BF$4)</f>
        <v/>
      </c>
      <c r="BD4" s="30" t="str" cm="1">
        <f t="array" ref="BD4">IF($AX4="✔",_xlfn.TEXTJOIN(",",TRUE,IF($E$7:$N$7&lt;&gt;"",$E$2:$N$2&amp;":"&amp;$E$7:$N$7+BD$2*$AZ4,"")),$BF$4)</f>
        <v/>
      </c>
      <c r="BE4" s="30" t="str" cm="1">
        <f t="array" ref="BE4">IF($AX4="✔",_xlfn.TEXTJOIN(",",TRUE,IF($E$7:$N$7&lt;&gt;"",$E$2:$N$2&amp;":"&amp;$E$7:$N$7+BE$2*$AZ4,"")),$BF$4)</f>
        <v/>
      </c>
      <c r="BF4" s="31" t="str" cm="1">
        <f t="array" ref="BF4">_xlfn.TEXTJOIN(", ",TRUE,IF($E$7:$N$7&lt;&gt;"",$E$2:$N$2&amp;":"&amp;$E$7:$N$7,""))</f>
        <v/>
      </c>
      <c r="BG4" s="30" t="str" cm="1">
        <f t="array" ref="BG4">IF($AX4="✔",_xlfn.TEXTJOIN(",",TRUE,IF($E$7:$N$7&lt;&gt;"",$E$2:$N$2&amp;":"&amp;$E$7:$N$7+BG$2*$AZ4,"")),$BF$4)</f>
        <v/>
      </c>
      <c r="BH4" s="30" t="str" cm="1">
        <f t="array" ref="BH4">IF($AX4="✔",_xlfn.TEXTJOIN(",",TRUE,IF($E$7:$N$7&lt;&gt;"",$E$2:$N$2&amp;":"&amp;$E$7:$N$7+BH$2*$AZ4,"")),$BF$4)</f>
        <v/>
      </c>
      <c r="BI4" s="30" t="str" cm="1">
        <f t="array" ref="BI4">IF($AX4="✔",_xlfn.TEXTJOIN(",",TRUE,IF($E$7:$N$7&lt;&gt;"",$E$2:$N$2&amp;":"&amp;$E$7:$N$7+BI$2*$AZ4,"")),$BF$4)</f>
        <v/>
      </c>
      <c r="BJ4" s="30" t="str" cm="1">
        <f t="array" ref="BJ4">IF($AX4="✔",_xlfn.TEXTJOIN(",",TRUE,IF($E$7:$N$7&lt;&gt;"",$E$2:$N$2&amp;":"&amp;$E$7:$N$7+BJ$2*$AZ4,"")),$BF$4)</f>
        <v/>
      </c>
      <c r="BK4" s="30" t="str" cm="1">
        <f t="array" ref="BK4">IF($AX4="✔",_xlfn.TEXTJOIN(",",TRUE,IF($E$7:$N$7&lt;&gt;"",$E$2:$N$2&amp;":"&amp;$E$7:$N$7+BK$2*$AZ4,"")),$BF$4)</f>
        <v/>
      </c>
    </row>
    <row r="5" s="1" customFormat="1" ht="16.5" spans="1:63">
      <c r="A5" s="15"/>
      <c r="B5" s="16" t="s">
        <v>51</v>
      </c>
      <c r="C5" s="17" t="s">
        <v>56</v>
      </c>
      <c r="D5" s="17"/>
      <c r="E5" s="94"/>
      <c r="F5" s="94"/>
      <c r="G5" s="94"/>
      <c r="H5" s="94"/>
      <c r="I5" s="94"/>
      <c r="J5" s="94"/>
      <c r="K5" s="94"/>
      <c r="L5" s="94"/>
      <c r="M5" s="94"/>
      <c r="N5" s="94"/>
      <c r="Q5" s="90" t="s">
        <v>24</v>
      </c>
      <c r="R5" s="20" t="e">
        <f t="shared" ref="R5:W5" si="4">R20/$E$4</f>
        <v>#DIV/0!</v>
      </c>
      <c r="S5" s="20" t="e">
        <f t="shared" si="4"/>
        <v>#DIV/0!</v>
      </c>
      <c r="T5" s="20" t="e">
        <f t="shared" si="4"/>
        <v>#DIV/0!</v>
      </c>
      <c r="U5" s="20" t="e">
        <f t="shared" si="4"/>
        <v>#DIV/0!</v>
      </c>
      <c r="V5" s="20" t="e">
        <f t="shared" si="4"/>
        <v>#DIV/0!</v>
      </c>
      <c r="W5" s="20" t="e">
        <f t="shared" si="4"/>
        <v>#DIV/0!</v>
      </c>
      <c r="AE5" s="33"/>
      <c r="AF5" s="34"/>
      <c r="AG5" s="28"/>
      <c r="AH5" s="1" t="s">
        <v>57</v>
      </c>
      <c r="AI5" s="35"/>
      <c r="AJ5" s="29">
        <f t="shared" ref="AJ5:AU5" si="5">IF(AJ2&lt;=$E$12,$E$4*$E$13,0)</f>
        <v>0</v>
      </c>
      <c r="AK5" s="29">
        <f t="shared" si="5"/>
        <v>0</v>
      </c>
      <c r="AL5" s="29">
        <f t="shared" si="5"/>
        <v>0</v>
      </c>
      <c r="AM5" s="29">
        <f t="shared" si="5"/>
        <v>0</v>
      </c>
      <c r="AN5" s="29">
        <f t="shared" si="5"/>
        <v>0</v>
      </c>
      <c r="AO5" s="29">
        <f t="shared" si="5"/>
        <v>0</v>
      </c>
      <c r="AP5" s="29">
        <f t="shared" si="5"/>
        <v>0</v>
      </c>
      <c r="AQ5" s="29">
        <f t="shared" si="5"/>
        <v>0</v>
      </c>
      <c r="AR5" s="29">
        <f t="shared" si="5"/>
        <v>0</v>
      </c>
      <c r="AS5" s="29">
        <f t="shared" si="5"/>
        <v>0</v>
      </c>
      <c r="AT5" s="29">
        <f t="shared" si="5"/>
        <v>0</v>
      </c>
      <c r="AU5" s="29">
        <f t="shared" si="5"/>
        <v>0</v>
      </c>
      <c r="AX5" s="91"/>
      <c r="AY5" s="1" t="s">
        <v>58</v>
      </c>
      <c r="AZ5" s="92">
        <v>1</v>
      </c>
      <c r="BA5" s="30" t="str" cm="1">
        <f t="array" ref="BA5">IF($AX5="✔",_xlfn.TEXTJOIN(",",TRUE,IF($E$9:$N$9&lt;&gt;"",$E$2:$N$2&amp;":"&amp;$E$9:$N$9+BA$2*$AZ5,"")),$BF$5)</f>
        <v/>
      </c>
      <c r="BB5" s="30" t="str" cm="1">
        <f t="array" ref="BB5">IF($AX5="✔",_xlfn.TEXTJOIN(",",TRUE,IF($E$9:$N$9&lt;&gt;"",$E$2:$N$2&amp;":"&amp;$E$9:$N$9+BB$2*$AZ5,"")),$BF$5)</f>
        <v/>
      </c>
      <c r="BC5" s="30" t="str" cm="1">
        <f t="array" ref="BC5">IF($AX5="✔",_xlfn.TEXTJOIN(",",TRUE,IF($E$9:$N$9&lt;&gt;"",$E$2:$N$2&amp;":"&amp;$E$9:$N$9+BC$2*$AZ5,"")),$BF$5)</f>
        <v/>
      </c>
      <c r="BD5" s="30" t="str" cm="1">
        <f t="array" ref="BD5">IF($AX5="✔",_xlfn.TEXTJOIN(",",TRUE,IF($E$9:$N$9&lt;&gt;"",$E$2:$N$2&amp;":"&amp;$E$9:$N$9+BD$2*$AZ5,"")),$BF$5)</f>
        <v/>
      </c>
      <c r="BE5" s="30" t="str" cm="1">
        <f t="array" ref="BE5">IF($AX5="✔",_xlfn.TEXTJOIN(",",TRUE,IF($E$9:$N$9&lt;&gt;"",$E$2:$N$2&amp;":"&amp;$E$9:$N$9+BE$2*$AZ5,"")),$BF$5)</f>
        <v/>
      </c>
      <c r="BF5" s="31" t="str" cm="1">
        <f t="array" ref="BF5">_xlfn.TEXTJOIN(", ",TRUE,IF($E$9:$N$9&lt;&gt;"",$E$2:$N$2&amp;":"&amp;$E$9:$N$9,""))</f>
        <v/>
      </c>
      <c r="BG5" s="30" t="str" cm="1">
        <f t="array" ref="BG5">IF($AX5="✔",_xlfn.TEXTJOIN(",",TRUE,IF($E$9:$N$9&lt;&gt;"",$E$2:$N$2&amp;":"&amp;$E$9:$N$9+BG$2*$AZ5,"")),$BF$5)</f>
        <v/>
      </c>
      <c r="BH5" s="30" t="str" cm="1">
        <f t="array" ref="BH5">IF($AX5="✔",_xlfn.TEXTJOIN(",",TRUE,IF($E$9:$N$9&lt;&gt;"",$E$2:$N$2&amp;":"&amp;$E$9:$N$9+BH$2*$AZ5,"")),$BF$5)</f>
        <v/>
      </c>
      <c r="BI5" s="30" t="str" cm="1">
        <f t="array" ref="BI5">IF($AX5="✔",_xlfn.TEXTJOIN(",",TRUE,IF($E$9:$N$9&lt;&gt;"",$E$2:$N$2&amp;":"&amp;$E$9:$N$9+BI$2*$AZ5,"")),$BF$5)</f>
        <v/>
      </c>
      <c r="BJ5" s="30" t="str" cm="1">
        <f t="array" ref="BJ5">IF($AX5="✔",_xlfn.TEXTJOIN(",",TRUE,IF($E$9:$N$9&lt;&gt;"",$E$2:$N$2&amp;":"&amp;$E$9:$N$9+BJ$2*$AZ5,"")),$BF$5)</f>
        <v/>
      </c>
      <c r="BK5" s="30" t="str" cm="1">
        <f t="array" ref="BK5">IF($AX5="✔",_xlfn.TEXTJOIN(",",TRUE,IF($E$9:$N$9&lt;&gt;"",$E$2:$N$2&amp;":"&amp;$E$9:$N$9+BK$2*$AZ5,"")),$BF$5)</f>
        <v/>
      </c>
    </row>
    <row r="6" s="1" customFormat="1" spans="1:63">
      <c r="A6" s="15"/>
      <c r="B6" s="16" t="s">
        <v>59</v>
      </c>
      <c r="C6" s="17" t="s">
        <v>60</v>
      </c>
      <c r="D6" s="17"/>
      <c r="E6" s="95"/>
      <c r="F6" s="95"/>
      <c r="G6" s="95"/>
      <c r="H6" s="95"/>
      <c r="I6" s="95"/>
      <c r="J6" s="95"/>
      <c r="K6" s="95"/>
      <c r="L6" s="95"/>
      <c r="M6" s="95"/>
      <c r="N6" s="95"/>
      <c r="Q6" s="90" t="s">
        <v>25</v>
      </c>
      <c r="R6" s="20" t="e">
        <f t="shared" ref="R6:W6" si="6">R21/$E$4</f>
        <v>#DIV/0!</v>
      </c>
      <c r="S6" s="20" t="e">
        <f t="shared" si="6"/>
        <v>#DIV/0!</v>
      </c>
      <c r="T6" s="20" t="e">
        <f t="shared" si="6"/>
        <v>#DIV/0!</v>
      </c>
      <c r="U6" s="20" t="e">
        <f t="shared" si="6"/>
        <v>#DIV/0!</v>
      </c>
      <c r="V6" s="20" t="e">
        <f t="shared" si="6"/>
        <v>#DIV/0!</v>
      </c>
      <c r="W6" s="20" t="e">
        <f t="shared" si="6"/>
        <v>#DIV/0!</v>
      </c>
      <c r="AE6" s="27"/>
      <c r="AF6" s="37"/>
      <c r="AG6" s="28"/>
      <c r="AH6" s="1" t="s">
        <v>61</v>
      </c>
      <c r="AI6" s="35"/>
      <c r="AJ6" s="29">
        <f t="shared" ref="AJ6:AU6" si="7">$E$14*$E$4</f>
        <v>0</v>
      </c>
      <c r="AK6" s="29">
        <f t="shared" si="7"/>
        <v>0</v>
      </c>
      <c r="AL6" s="29">
        <f t="shared" si="7"/>
        <v>0</v>
      </c>
      <c r="AM6" s="29">
        <f t="shared" si="7"/>
        <v>0</v>
      </c>
      <c r="AN6" s="29">
        <f t="shared" si="7"/>
        <v>0</v>
      </c>
      <c r="AO6" s="29">
        <f t="shared" si="7"/>
        <v>0</v>
      </c>
      <c r="AP6" s="29">
        <f t="shared" si="7"/>
        <v>0</v>
      </c>
      <c r="AQ6" s="29">
        <f t="shared" si="7"/>
        <v>0</v>
      </c>
      <c r="AR6" s="29">
        <f t="shared" si="7"/>
        <v>0</v>
      </c>
      <c r="AS6" s="29">
        <f t="shared" si="7"/>
        <v>0</v>
      </c>
      <c r="AT6" s="29">
        <f t="shared" si="7"/>
        <v>0</v>
      </c>
      <c r="AU6" s="29">
        <f t="shared" si="7"/>
        <v>0</v>
      </c>
      <c r="AX6" s="91" t="s">
        <v>50</v>
      </c>
      <c r="AY6" s="38" t="s">
        <v>62</v>
      </c>
      <c r="AZ6" s="96">
        <v>300</v>
      </c>
      <c r="BA6" s="2">
        <f t="shared" ref="BA6:BE6" si="8">IF($AX6="✔",$BF6+BA$2*$AZ6,$BF6)</f>
        <v>-1500</v>
      </c>
      <c r="BB6" s="2">
        <f t="shared" si="8"/>
        <v>-1200</v>
      </c>
      <c r="BC6" s="2">
        <f t="shared" si="8"/>
        <v>-900</v>
      </c>
      <c r="BD6" s="2">
        <f t="shared" si="8"/>
        <v>-600</v>
      </c>
      <c r="BE6" s="2">
        <f t="shared" si="8"/>
        <v>-300</v>
      </c>
      <c r="BF6" s="40">
        <f>$E$13</f>
        <v>0</v>
      </c>
      <c r="BG6" s="2">
        <f t="shared" ref="BG6:BK6" si="9">IF($AX6="✔",$BF6+BG$2*$AZ6,$BF6)</f>
        <v>300</v>
      </c>
      <c r="BH6" s="2">
        <f t="shared" si="9"/>
        <v>600</v>
      </c>
      <c r="BI6" s="2">
        <f t="shared" si="9"/>
        <v>900</v>
      </c>
      <c r="BJ6" s="2">
        <f t="shared" si="9"/>
        <v>1200</v>
      </c>
      <c r="BK6" s="2">
        <f t="shared" si="9"/>
        <v>1500</v>
      </c>
    </row>
    <row r="7" s="1" customFormat="1" spans="1:63">
      <c r="A7" s="15"/>
      <c r="B7" s="16" t="s">
        <v>55</v>
      </c>
      <c r="C7" s="17" t="s">
        <v>63</v>
      </c>
      <c r="D7" s="17"/>
      <c r="E7" s="95"/>
      <c r="F7" s="95"/>
      <c r="G7" s="95"/>
      <c r="H7" s="95"/>
      <c r="I7" s="95"/>
      <c r="J7" s="95"/>
      <c r="K7" s="95"/>
      <c r="L7" s="95"/>
      <c r="M7" s="95"/>
      <c r="N7" s="95"/>
      <c r="Q7" s="90" t="s">
        <v>26</v>
      </c>
      <c r="R7" s="20" t="e">
        <f t="shared" ref="R7:W7" si="10">R22/$E$4</f>
        <v>#DIV/0!</v>
      </c>
      <c r="S7" s="20" t="e">
        <f t="shared" si="10"/>
        <v>#DIV/0!</v>
      </c>
      <c r="T7" s="20" t="e">
        <f t="shared" si="10"/>
        <v>#DIV/0!</v>
      </c>
      <c r="U7" s="20" t="e">
        <f t="shared" si="10"/>
        <v>#DIV/0!</v>
      </c>
      <c r="V7" s="20" t="e">
        <f t="shared" si="10"/>
        <v>#DIV/0!</v>
      </c>
      <c r="W7" s="20" t="e">
        <f t="shared" si="10"/>
        <v>#DIV/0!</v>
      </c>
      <c r="AE7" s="27"/>
      <c r="AF7" s="37"/>
      <c r="AG7" s="28"/>
      <c r="AH7" s="1" t="s">
        <v>64</v>
      </c>
      <c r="AI7" s="35"/>
      <c r="AJ7" s="29">
        <f t="shared" ref="AJ7:AU7" si="11">$E$4*$E$15</f>
        <v>0</v>
      </c>
      <c r="AK7" s="29">
        <f t="shared" si="11"/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91"/>
      <c r="AY7" s="1" t="s">
        <v>65</v>
      </c>
      <c r="AZ7" s="9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95"/>
      <c r="F8" s="95"/>
      <c r="G8" s="95"/>
      <c r="H8" s="95"/>
      <c r="I8" s="95"/>
      <c r="J8" s="95"/>
      <c r="K8" s="95"/>
      <c r="L8" s="95"/>
      <c r="M8" s="95"/>
      <c r="N8" s="95"/>
      <c r="Q8" s="90" t="s">
        <v>27</v>
      </c>
      <c r="R8" s="20" t="e">
        <f t="shared" ref="R8:W8" si="14">R23/$E$4</f>
        <v>#DIV/0!</v>
      </c>
      <c r="S8" s="20" t="e">
        <f t="shared" si="14"/>
        <v>#DIV/0!</v>
      </c>
      <c r="T8" s="20" t="e">
        <f t="shared" si="14"/>
        <v>#DIV/0!</v>
      </c>
      <c r="U8" s="20" t="e">
        <f t="shared" si="14"/>
        <v>#DIV/0!</v>
      </c>
      <c r="V8" s="20" t="e">
        <f t="shared" si="14"/>
        <v>#DIV/0!</v>
      </c>
      <c r="W8" s="20" t="e">
        <f t="shared" si="14"/>
        <v>#DIV/0!</v>
      </c>
      <c r="AE8" s="27"/>
      <c r="AF8" s="37"/>
      <c r="AG8" s="28"/>
      <c r="AH8" s="1" t="s">
        <v>68</v>
      </c>
      <c r="AI8" s="35"/>
      <c r="AJ8" s="29">
        <f t="shared" ref="AJ8:AU8" si="15">$E$4*$E$16</f>
        <v>0</v>
      </c>
      <c r="AK8" s="29">
        <f t="shared" si="15"/>
        <v>0</v>
      </c>
      <c r="AL8" s="29">
        <f t="shared" si="15"/>
        <v>0</v>
      </c>
      <c r="AM8" s="29">
        <f t="shared" si="15"/>
        <v>0</v>
      </c>
      <c r="AN8" s="29">
        <f t="shared" si="15"/>
        <v>0</v>
      </c>
      <c r="AO8" s="29">
        <f t="shared" si="15"/>
        <v>0</v>
      </c>
      <c r="AP8" s="29">
        <f t="shared" si="15"/>
        <v>0</v>
      </c>
      <c r="AQ8" s="29">
        <f t="shared" si="15"/>
        <v>0</v>
      </c>
      <c r="AR8" s="29">
        <f t="shared" si="15"/>
        <v>0</v>
      </c>
      <c r="AS8" s="29">
        <f t="shared" si="15"/>
        <v>0</v>
      </c>
      <c r="AT8" s="29">
        <f t="shared" si="15"/>
        <v>0</v>
      </c>
      <c r="AU8" s="29">
        <f t="shared" si="15"/>
        <v>0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95"/>
      <c r="F9" s="95"/>
      <c r="G9" s="95"/>
      <c r="H9" s="95"/>
      <c r="I9" s="95"/>
      <c r="J9" s="95"/>
      <c r="K9" s="95"/>
      <c r="L9" s="95"/>
      <c r="M9" s="95"/>
      <c r="N9" s="95"/>
      <c r="Q9" s="90" t="s">
        <v>28</v>
      </c>
      <c r="R9" s="20" t="e">
        <f t="shared" ref="R9:W9" si="16">R24/$E$4</f>
        <v>#DIV/0!</v>
      </c>
      <c r="S9" s="20" t="e">
        <f t="shared" si="16"/>
        <v>#DIV/0!</v>
      </c>
      <c r="T9" s="20" t="e">
        <f t="shared" si="16"/>
        <v>#DIV/0!</v>
      </c>
      <c r="U9" s="20" t="e">
        <f t="shared" si="16"/>
        <v>#DIV/0!</v>
      </c>
      <c r="V9" s="20" t="e">
        <f t="shared" si="16"/>
        <v>#DIV/0!</v>
      </c>
      <c r="W9" s="20" t="e">
        <f t="shared" si="16"/>
        <v>#DIV/0!</v>
      </c>
      <c r="AE9" s="27"/>
      <c r="AF9" s="37"/>
      <c r="AG9" s="28"/>
      <c r="AH9" s="1" t="s">
        <v>71</v>
      </c>
      <c r="AI9" s="35"/>
      <c r="AJ9" s="29">
        <f t="shared" ref="AJ9:AU9" si="17">$E$4*$E$17</f>
        <v>0</v>
      </c>
      <c r="AK9" s="29">
        <f t="shared" si="17"/>
        <v>0</v>
      </c>
      <c r="AL9" s="29">
        <f t="shared" si="17"/>
        <v>0</v>
      </c>
      <c r="AM9" s="29">
        <f t="shared" si="17"/>
        <v>0</v>
      </c>
      <c r="AN9" s="29">
        <f t="shared" si="17"/>
        <v>0</v>
      </c>
      <c r="AO9" s="29">
        <f t="shared" si="17"/>
        <v>0</v>
      </c>
      <c r="AP9" s="29">
        <f t="shared" si="17"/>
        <v>0</v>
      </c>
      <c r="AQ9" s="29">
        <f t="shared" si="17"/>
        <v>0</v>
      </c>
      <c r="AR9" s="29">
        <f t="shared" si="17"/>
        <v>0</v>
      </c>
      <c r="AS9" s="29">
        <f t="shared" si="17"/>
        <v>0</v>
      </c>
      <c r="AT9" s="29">
        <f t="shared" si="17"/>
        <v>0</v>
      </c>
      <c r="AU9" s="29">
        <f t="shared" si="17"/>
        <v>0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0</v>
      </c>
      <c r="BB9" s="29" cm="1">
        <f t="array" ref="BB9">_xlfn.LET(_xlpm.p,IF($AX$4="✔",$AZ$4,0),_xlpm.n,IF($AX$5="✔",$AZ$5,0),SUMPRODUCT($E$7:$N$7+BB$2*_xlpm.p,$E$8:$N$8,$E$9:$N$9+BB$2*_xlpm.n))</f>
        <v>0</v>
      </c>
      <c r="BC9" s="29" cm="1">
        <f t="array" ref="BC9">_xlfn.LET(_xlpm.p,IF($AX$4="✔",$AZ$4,0),_xlpm.n,IF($AX$5="✔",$AZ$5,0),SUMPRODUCT($E$7:$N$7+BC$2*_xlpm.p,$E$8:$N$8,$E$9:$N$9+BC$2*_xlpm.n))</f>
        <v>0</v>
      </c>
      <c r="BD9" s="29" cm="1">
        <f t="array" ref="BD9">_xlfn.LET(_xlpm.p,IF($AX$4="✔",$AZ$4,0),_xlpm.n,IF($AX$5="✔",$AZ$5,0),SUMPRODUCT($E$7:$N$7+BD$2*_xlpm.p,$E$8:$N$8,$E$9:$N$9+BD$2*_xlpm.n))</f>
        <v>0</v>
      </c>
      <c r="BE9" s="29" cm="1">
        <f t="array" ref="BE9">_xlfn.LET(_xlpm.p,IF($AX$4="✔",$AZ$4,0),_xlpm.n,IF($AX$5="✔",$AZ$5,0),SUMPRODUCT($E$7:$N$7+BE$2*_xlpm.p,$E$8:$N$8,$E$9:$N$9+BE$2*_xlpm.n))</f>
        <v>0</v>
      </c>
      <c r="BF9" s="29" cm="1">
        <f t="array" ref="BF9">(SUMPRODUCT($E$7:$N$7,$E$8:$N$8,$E$9:$N$9))</f>
        <v>0</v>
      </c>
      <c r="BG9" s="29" cm="1">
        <f t="array" ref="BG9">_xlfn.LET(_xlpm.p,IF($AX$4="✔",$AZ$4,0),_xlpm.n,IF($AX$5="✔",$AZ$5,0),SUMPRODUCT($E$7:$N$7+BG$2*_xlpm.p,$E$8:$N$8,$E$9:$N$9+BG$2*_xlpm.n))</f>
        <v>0</v>
      </c>
      <c r="BH9" s="29" cm="1">
        <f t="array" ref="BH9">_xlfn.LET(_xlpm.p,IF($AX$4="✔",$AZ$4,0),_xlpm.n,IF($AX$5="✔",$AZ$5,0),SUMPRODUCT($E$7:$N$7+BH$2*_xlpm.p,$E$8:$N$8,$E$9:$N$9+BH$2*_xlpm.n))</f>
        <v>0</v>
      </c>
      <c r="BI9" s="29" cm="1">
        <f t="array" ref="BI9">_xlfn.LET(_xlpm.p,IF($AX$4="✔",$AZ$4,0),_xlpm.n,IF($AX$5="✔",$AZ$5,0),SUMPRODUCT($E$7:$N$7+BI$2*_xlpm.p,$E$8:$N$8,$E$9:$N$9+BI$2*_xlpm.n))</f>
        <v>0</v>
      </c>
      <c r="BJ9" s="29" cm="1">
        <f t="array" ref="BJ9">_xlfn.LET(_xlpm.p,IF($AX$4="✔",$AZ$4,0),_xlpm.n,IF($AX$5="✔",$AZ$5,0),SUMPRODUCT($E$7:$N$7+BJ$2*_xlpm.p,$E$8:$N$8,$E$9:$N$9+BJ$2*_xlpm.n))</f>
        <v>0</v>
      </c>
      <c r="BK9" s="29" cm="1">
        <f t="array" ref="BK9">_xlfn.LET(_xlpm.p,IF($AX$4="✔",$AZ$4,0),_xlpm.n,IF($AX$5="✔",$AZ$5,0),SUMPRODUCT($E$7:$N$7+BK$2*_xlpm.p,$E$8:$N$8,$E$9:$N$9+BK$2*_xlpm.n))</f>
        <v>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95"/>
      <c r="F10" s="95"/>
      <c r="G10" s="95"/>
      <c r="H10" s="95"/>
      <c r="I10" s="95"/>
      <c r="J10" s="95"/>
      <c r="K10" s="95"/>
      <c r="L10" s="95"/>
      <c r="M10" s="95"/>
      <c r="N10" s="95"/>
      <c r="Q10" s="90" t="s">
        <v>29</v>
      </c>
      <c r="R10" s="20" t="e">
        <f t="shared" ref="R10:W10" si="18">R25/$E$4</f>
        <v>#DIV/0!</v>
      </c>
      <c r="S10" s="20" t="e">
        <f t="shared" si="18"/>
        <v>#DIV/0!</v>
      </c>
      <c r="T10" s="20" t="e">
        <f t="shared" si="18"/>
        <v>#DIV/0!</v>
      </c>
      <c r="U10" s="20" t="e">
        <f t="shared" si="18"/>
        <v>#DIV/0!</v>
      </c>
      <c r="V10" s="20" t="e">
        <f t="shared" si="18"/>
        <v>#DIV/0!</v>
      </c>
      <c r="W10" s="20" t="e">
        <f t="shared" si="18"/>
        <v>#DIV/0!</v>
      </c>
      <c r="AE10" s="27"/>
      <c r="AF10" s="37"/>
      <c r="AG10" s="28"/>
      <c r="AH10" s="1" t="s">
        <v>74</v>
      </c>
      <c r="AI10" s="35"/>
      <c r="AJ10" s="29">
        <f t="shared" ref="AJ10:AU10" si="19">$E$4*$E$18</f>
        <v>0</v>
      </c>
      <c r="AK10" s="29">
        <f t="shared" si="19"/>
        <v>0</v>
      </c>
      <c r="AL10" s="29">
        <f t="shared" si="19"/>
        <v>0</v>
      </c>
      <c r="AM10" s="29">
        <f t="shared" si="19"/>
        <v>0</v>
      </c>
      <c r="AN10" s="29">
        <f t="shared" si="19"/>
        <v>0</v>
      </c>
      <c r="AO10" s="29">
        <f t="shared" si="19"/>
        <v>0</v>
      </c>
      <c r="AP10" s="29">
        <f t="shared" si="19"/>
        <v>0</v>
      </c>
      <c r="AQ10" s="29">
        <f t="shared" si="19"/>
        <v>0</v>
      </c>
      <c r="AR10" s="29">
        <f t="shared" si="19"/>
        <v>0</v>
      </c>
      <c r="AS10" s="29">
        <f t="shared" si="19"/>
        <v>0</v>
      </c>
      <c r="AT10" s="29">
        <f t="shared" si="19"/>
        <v>0</v>
      </c>
      <c r="AU10" s="29">
        <f t="shared" si="19"/>
        <v>0</v>
      </c>
      <c r="AX10" s="44" t="s">
        <v>75</v>
      </c>
      <c r="AY10" s="44"/>
      <c r="AZ10" s="44"/>
      <c r="BA10" s="45">
        <f t="shared" ref="BA10:BK10" si="20">BA9</f>
        <v>0</v>
      </c>
      <c r="BB10" s="45">
        <f t="shared" si="20"/>
        <v>0</v>
      </c>
      <c r="BC10" s="45">
        <f t="shared" si="20"/>
        <v>0</v>
      </c>
      <c r="BD10" s="45">
        <f t="shared" si="20"/>
        <v>0</v>
      </c>
      <c r="BE10" s="45">
        <f t="shared" si="20"/>
        <v>0</v>
      </c>
      <c r="BF10" s="45">
        <f t="shared" si="20"/>
        <v>0</v>
      </c>
      <c r="BG10" s="45">
        <f t="shared" si="20"/>
        <v>0</v>
      </c>
      <c r="BH10" s="45">
        <f t="shared" si="20"/>
        <v>0</v>
      </c>
      <c r="BI10" s="45">
        <f t="shared" si="20"/>
        <v>0</v>
      </c>
      <c r="BJ10" s="45">
        <f t="shared" si="20"/>
        <v>0</v>
      </c>
      <c r="BK10" s="45">
        <f t="shared" si="20"/>
        <v>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94">
        <v>0</v>
      </c>
      <c r="F11" s="94"/>
      <c r="G11" s="94"/>
      <c r="H11" s="94"/>
      <c r="I11" s="94"/>
      <c r="J11" s="94"/>
      <c r="K11" s="94"/>
      <c r="L11" s="94"/>
      <c r="M11" s="94"/>
      <c r="N11" s="94"/>
      <c r="Q11" s="90" t="s">
        <v>30</v>
      </c>
      <c r="R11" s="20" t="e">
        <f t="shared" ref="R11:W11" si="21">R26/$E$4</f>
        <v>#DIV/0!</v>
      </c>
      <c r="S11" s="20" t="e">
        <f t="shared" si="21"/>
        <v>#DIV/0!</v>
      </c>
      <c r="T11" s="20" t="e">
        <f t="shared" si="21"/>
        <v>#DIV/0!</v>
      </c>
      <c r="U11" s="20" t="e">
        <f t="shared" si="21"/>
        <v>#DIV/0!</v>
      </c>
      <c r="V11" s="20" t="e">
        <f t="shared" si="21"/>
        <v>#DIV/0!</v>
      </c>
      <c r="W11" s="20" t="e">
        <f t="shared" si="21"/>
        <v>#DIV/0!</v>
      </c>
      <c r="AE11" s="27"/>
      <c r="AF11" s="37"/>
      <c r="AG11" s="28"/>
      <c r="AH11" s="1" t="s">
        <v>78</v>
      </c>
      <c r="AI11" s="35"/>
      <c r="AJ11" s="29">
        <f t="shared" ref="AJ11:AU11" si="22">$E$4*$E$19</f>
        <v>0</v>
      </c>
      <c r="AK11" s="29">
        <f t="shared" si="22"/>
        <v>0</v>
      </c>
      <c r="AL11" s="29">
        <f t="shared" si="22"/>
        <v>0</v>
      </c>
      <c r="AM11" s="29">
        <f t="shared" si="22"/>
        <v>0</v>
      </c>
      <c r="AN11" s="29">
        <f t="shared" si="22"/>
        <v>0</v>
      </c>
      <c r="AO11" s="29">
        <f t="shared" si="22"/>
        <v>0</v>
      </c>
      <c r="AP11" s="29">
        <f t="shared" si="22"/>
        <v>0</v>
      </c>
      <c r="AQ11" s="29">
        <f t="shared" si="22"/>
        <v>0</v>
      </c>
      <c r="AR11" s="29">
        <f t="shared" si="22"/>
        <v>0</v>
      </c>
      <c r="AS11" s="29">
        <f t="shared" si="22"/>
        <v>0</v>
      </c>
      <c r="AT11" s="29">
        <f t="shared" si="22"/>
        <v>0</v>
      </c>
      <c r="AU11" s="29">
        <f t="shared" si="22"/>
        <v>0</v>
      </c>
      <c r="AX11" s="28" t="s">
        <v>14</v>
      </c>
      <c r="AY11" s="28"/>
      <c r="AZ11" s="35" t="s">
        <v>79</v>
      </c>
      <c r="BA11" s="29" t="e">
        <f t="shared" ref="BA11:BE11" si="23">IF($E$3="纯租赁",BA$6*12/$E$10,($E$11/$E$28+BA$6)*12/$E$10)</f>
        <v>#DIV/0!</v>
      </c>
      <c r="BB11" s="29" t="e">
        <f t="shared" si="23"/>
        <v>#DIV/0!</v>
      </c>
      <c r="BC11" s="29" t="e">
        <f t="shared" si="23"/>
        <v>#DIV/0!</v>
      </c>
      <c r="BD11" s="29" t="e">
        <f t="shared" si="23"/>
        <v>#DIV/0!</v>
      </c>
      <c r="BE11" s="29" t="e">
        <f t="shared" si="23"/>
        <v>#DIV/0!</v>
      </c>
      <c r="BF11" s="29" t="e">
        <f>IF($E$3="纯租赁",$E$13*12/$E$10,($E$11/$E$28+$E$13)*12/$E$10)</f>
        <v>#DIV/0!</v>
      </c>
      <c r="BG11" s="29" t="e">
        <f t="shared" ref="BG11:BK11" si="24">IF($E$3="纯租赁",BG$6*12/$E$10,($E$11/$E$28+BG$6)*12/$E$10)</f>
        <v>#DIV/0!</v>
      </c>
      <c r="BH11" s="29" t="e">
        <f t="shared" si="24"/>
        <v>#DIV/0!</v>
      </c>
      <c r="BI11" s="29" t="e">
        <f t="shared" si="24"/>
        <v>#DIV/0!</v>
      </c>
      <c r="BJ11" s="29" t="e">
        <f t="shared" si="24"/>
        <v>#DIV/0!</v>
      </c>
      <c r="BK11" s="29" t="e">
        <f t="shared" si="24"/>
        <v>#DIV/0!</v>
      </c>
    </row>
    <row r="12" spans="1:63">
      <c r="A12" s="15"/>
      <c r="B12" s="16" t="s">
        <v>80</v>
      </c>
      <c r="C12" s="17" t="s">
        <v>81</v>
      </c>
      <c r="D12" s="17"/>
      <c r="E12" s="95"/>
      <c r="F12" s="97"/>
      <c r="G12" s="97"/>
      <c r="H12" s="97"/>
      <c r="I12" s="97"/>
      <c r="J12" s="97"/>
      <c r="K12" s="97"/>
      <c r="L12" s="97"/>
      <c r="M12" s="97"/>
      <c r="N12" s="97"/>
      <c r="Q12" s="90" t="s">
        <v>31</v>
      </c>
      <c r="R12" s="20" t="e">
        <f t="shared" ref="R12:W12" si="25">R27/$E$4</f>
        <v>#DIV/0!</v>
      </c>
      <c r="S12" s="20" t="e">
        <f t="shared" si="25"/>
        <v>#DIV/0!</v>
      </c>
      <c r="T12" s="20" t="e">
        <f t="shared" si="25"/>
        <v>#DIV/0!</v>
      </c>
      <c r="U12" s="20" t="e">
        <f t="shared" si="25"/>
        <v>#DIV/0!</v>
      </c>
      <c r="V12" s="20" t="e">
        <f t="shared" si="25"/>
        <v>#DIV/0!</v>
      </c>
      <c r="W12" s="20" t="e">
        <f t="shared" si="25"/>
        <v>#DIV/0!</v>
      </c>
      <c r="AE12" s="27"/>
      <c r="AF12" s="37"/>
      <c r="AG12" s="28"/>
      <c r="AH12" s="1" t="s">
        <v>82</v>
      </c>
      <c r="AI12" s="35"/>
      <c r="AJ12" s="29">
        <f t="shared" ref="AJ12:AU12" si="26">$E$4*$E$20</f>
        <v>0</v>
      </c>
      <c r="AK12" s="29">
        <f t="shared" si="26"/>
        <v>0</v>
      </c>
      <c r="AL12" s="29">
        <f t="shared" si="26"/>
        <v>0</v>
      </c>
      <c r="AM12" s="29">
        <f t="shared" si="26"/>
        <v>0</v>
      </c>
      <c r="AN12" s="29">
        <f t="shared" si="26"/>
        <v>0</v>
      </c>
      <c r="AO12" s="29">
        <f t="shared" si="26"/>
        <v>0</v>
      </c>
      <c r="AP12" s="29">
        <f t="shared" si="26"/>
        <v>0</v>
      </c>
      <c r="AQ12" s="29">
        <f t="shared" si="26"/>
        <v>0</v>
      </c>
      <c r="AR12" s="29">
        <f t="shared" si="26"/>
        <v>0</v>
      </c>
      <c r="AS12" s="29">
        <f t="shared" si="26"/>
        <v>0</v>
      </c>
      <c r="AT12" s="29">
        <f t="shared" si="26"/>
        <v>0</v>
      </c>
      <c r="AU12" s="29">
        <f t="shared" si="26"/>
        <v>0</v>
      </c>
      <c r="AX12" s="28"/>
      <c r="AY12" s="28"/>
      <c r="AZ12" s="35" t="s">
        <v>61</v>
      </c>
      <c r="BA12" s="29" t="e">
        <f t="shared" ref="BA12:BK12" si="27">$E$14*12/$E$10</f>
        <v>#DIV/0!</v>
      </c>
      <c r="BB12" s="29" t="e">
        <f t="shared" si="27"/>
        <v>#DIV/0!</v>
      </c>
      <c r="BC12" s="29" t="e">
        <f t="shared" si="27"/>
        <v>#DIV/0!</v>
      </c>
      <c r="BD12" s="29" t="e">
        <f t="shared" si="27"/>
        <v>#DIV/0!</v>
      </c>
      <c r="BE12" s="29" t="e">
        <f t="shared" si="27"/>
        <v>#DIV/0!</v>
      </c>
      <c r="BF12" s="29" t="e">
        <f t="shared" si="27"/>
        <v>#DIV/0!</v>
      </c>
      <c r="BG12" s="29" t="e">
        <f t="shared" si="27"/>
        <v>#DIV/0!</v>
      </c>
      <c r="BH12" s="29" t="e">
        <f t="shared" si="27"/>
        <v>#DIV/0!</v>
      </c>
      <c r="BI12" s="29" t="e">
        <f t="shared" si="27"/>
        <v>#DIV/0!</v>
      </c>
      <c r="BJ12" s="29" t="e">
        <f t="shared" si="27"/>
        <v>#DIV/0!</v>
      </c>
      <c r="BK12" s="29" t="e">
        <f t="shared" si="27"/>
        <v>#DIV/0!</v>
      </c>
    </row>
    <row r="13" spans="1:63">
      <c r="A13" s="15"/>
      <c r="B13" s="46" t="s">
        <v>62</v>
      </c>
      <c r="C13" s="17" t="s">
        <v>83</v>
      </c>
      <c r="D13" s="17"/>
      <c r="E13" s="94"/>
      <c r="F13" s="94"/>
      <c r="G13" s="94"/>
      <c r="H13" s="94"/>
      <c r="I13" s="94"/>
      <c r="J13" s="94"/>
      <c r="K13" s="94"/>
      <c r="L13" s="94"/>
      <c r="M13" s="94"/>
      <c r="N13" s="94"/>
      <c r="Q13" s="48" t="s">
        <v>84</v>
      </c>
      <c r="R13" s="49" t="e">
        <f t="shared" ref="R13:V13" si="28">SUM(R3:R12)</f>
        <v>#DIV/0!</v>
      </c>
      <c r="S13" s="49" t="e">
        <f t="shared" si="28"/>
        <v>#DIV/0!</v>
      </c>
      <c r="T13" s="49" t="e">
        <f t="shared" si="28"/>
        <v>#DIV/0!</v>
      </c>
      <c r="U13" s="49" t="e">
        <f t="shared" si="28"/>
        <v>#DIV/0!</v>
      </c>
      <c r="V13" s="49" t="e">
        <f t="shared" si="28"/>
        <v>#DIV/0!</v>
      </c>
      <c r="W13" s="49" t="e">
        <f>R13-S13-T13-U13-V13</f>
        <v>#DIV/0!</v>
      </c>
      <c r="AE13" s="27"/>
      <c r="AF13" s="37"/>
      <c r="AG13" s="22"/>
      <c r="AH13" s="50" t="s">
        <v>85</v>
      </c>
      <c r="AI13" s="23"/>
      <c r="AJ13" s="24">
        <f t="shared" ref="AJ13:AU13" si="29">$E$4*$E$21</f>
        <v>0</v>
      </c>
      <c r="AK13" s="24">
        <f t="shared" si="29"/>
        <v>0</v>
      </c>
      <c r="AL13" s="24">
        <f t="shared" si="29"/>
        <v>0</v>
      </c>
      <c r="AM13" s="24">
        <f t="shared" si="29"/>
        <v>0</v>
      </c>
      <c r="AN13" s="24">
        <f t="shared" si="29"/>
        <v>0</v>
      </c>
      <c r="AO13" s="24">
        <f t="shared" si="29"/>
        <v>0</v>
      </c>
      <c r="AP13" s="24">
        <f t="shared" si="29"/>
        <v>0</v>
      </c>
      <c r="AQ13" s="24">
        <f t="shared" si="29"/>
        <v>0</v>
      </c>
      <c r="AR13" s="24">
        <f t="shared" si="29"/>
        <v>0</v>
      </c>
      <c r="AS13" s="24">
        <f t="shared" si="29"/>
        <v>0</v>
      </c>
      <c r="AT13" s="24">
        <f t="shared" si="29"/>
        <v>0</v>
      </c>
      <c r="AU13" s="24">
        <f t="shared" si="29"/>
        <v>0</v>
      </c>
      <c r="AX13" s="28"/>
      <c r="AY13" s="28"/>
      <c r="AZ13" s="35" t="s">
        <v>64</v>
      </c>
      <c r="BA13" s="29" t="e">
        <f t="shared" ref="BA13:BK13" si="30">$E$15*12/$E$10</f>
        <v>#DIV/0!</v>
      </c>
      <c r="BB13" s="29" t="e">
        <f t="shared" si="30"/>
        <v>#DIV/0!</v>
      </c>
      <c r="BC13" s="29" t="e">
        <f t="shared" si="30"/>
        <v>#DIV/0!</v>
      </c>
      <c r="BD13" s="29" t="e">
        <f t="shared" si="30"/>
        <v>#DIV/0!</v>
      </c>
      <c r="BE13" s="29" t="e">
        <f t="shared" si="30"/>
        <v>#DIV/0!</v>
      </c>
      <c r="BF13" s="29" t="e">
        <f t="shared" si="30"/>
        <v>#DIV/0!</v>
      </c>
      <c r="BG13" s="29" t="e">
        <f t="shared" si="30"/>
        <v>#DIV/0!</v>
      </c>
      <c r="BH13" s="29" t="e">
        <f t="shared" si="30"/>
        <v>#DIV/0!</v>
      </c>
      <c r="BI13" s="29" t="e">
        <f t="shared" si="30"/>
        <v>#DIV/0!</v>
      </c>
      <c r="BJ13" s="29" t="e">
        <f t="shared" si="30"/>
        <v>#DIV/0!</v>
      </c>
      <c r="BK13" s="29" t="e">
        <f t="shared" si="30"/>
        <v>#DIV/0!</v>
      </c>
    </row>
    <row r="14" spans="1:63">
      <c r="A14" s="15"/>
      <c r="B14" s="16" t="s">
        <v>86</v>
      </c>
      <c r="C14" s="17" t="s">
        <v>87</v>
      </c>
      <c r="D14" s="17"/>
      <c r="E14" s="95">
        <f>IF(E4&lt;30,2000,IF(E4&lt;50,1500,IF(E4&lt;100,1200,IF(E4&lt;200,1000,800))))</f>
        <v>2000</v>
      </c>
      <c r="F14" s="97"/>
      <c r="G14" s="97"/>
      <c r="H14" s="97"/>
      <c r="I14" s="97"/>
      <c r="J14" s="97"/>
      <c r="K14" s="97"/>
      <c r="L14" s="97"/>
      <c r="M14" s="97"/>
      <c r="N14" s="9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0</v>
      </c>
      <c r="AK14" s="29" cm="1">
        <f t="array" ref="AK14">IF(AK2&lt;=$E$10,$E$4*SUMPRODUCT($E$9:$N$9,$E$22:$N$22),0)</f>
        <v>0</v>
      </c>
      <c r="AL14" s="29" cm="1">
        <f t="array" ref="AL14">IF(AL2&lt;=$E$10,$E$4*SUMPRODUCT($E$9:$N$9,$E$22:$N$22),0)</f>
        <v>0</v>
      </c>
      <c r="AM14" s="29" cm="1">
        <f t="array" ref="AM14">IF(AM2&lt;=$E$10,$E$4*SUMPRODUCT($E$9:$N$9,$E$22:$N$22),0)</f>
        <v>0</v>
      </c>
      <c r="AN14" s="29" cm="1">
        <f t="array" ref="AN14">IF(AN2&lt;=$E$10,$E$4*SUMPRODUCT($E$9:$N$9,$E$22:$N$22),0)</f>
        <v>0</v>
      </c>
      <c r="AO14" s="29" cm="1">
        <f t="array" ref="AO14">IF(AO2&lt;=$E$10,$E$4*SUMPRODUCT($E$9:$N$9,$E$22:$N$22),0)</f>
        <v>0</v>
      </c>
      <c r="AP14" s="29" cm="1">
        <f t="array" ref="AP14">IF(AP2&lt;=$E$10,$E$4*SUMPRODUCT($E$9:$N$9,$E$22:$N$22),0)</f>
        <v>0</v>
      </c>
      <c r="AQ14" s="29" cm="1">
        <f t="array" ref="AQ14">IF(AQ2&lt;=$E$10,$E$4*SUMPRODUCT($E$9:$N$9,$E$22:$N$22),0)</f>
        <v>0</v>
      </c>
      <c r="AR14" s="29" cm="1">
        <f t="array" ref="AR14">IF(AR2&lt;=$E$10,$E$4*SUMPRODUCT($E$9:$N$9,$E$22:$N$22),0)</f>
        <v>0</v>
      </c>
      <c r="AS14" s="29" cm="1">
        <f t="array" ref="AS14">IF(AS2&lt;=$E$10,$E$4*SUMPRODUCT($E$9:$N$9,$E$22:$N$22),0)</f>
        <v>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 t="e">
        <f t="shared" ref="BA14:BK14" si="31">$E$16*12/$E$10</f>
        <v>#DIV/0!</v>
      </c>
      <c r="BB14" s="29" t="e">
        <f t="shared" si="31"/>
        <v>#DIV/0!</v>
      </c>
      <c r="BC14" s="29" t="e">
        <f t="shared" si="31"/>
        <v>#DIV/0!</v>
      </c>
      <c r="BD14" s="29" t="e">
        <f t="shared" si="31"/>
        <v>#DIV/0!</v>
      </c>
      <c r="BE14" s="29" t="e">
        <f t="shared" si="31"/>
        <v>#DIV/0!</v>
      </c>
      <c r="BF14" s="29" t="e">
        <f t="shared" si="31"/>
        <v>#DIV/0!</v>
      </c>
      <c r="BG14" s="29" t="e">
        <f t="shared" si="31"/>
        <v>#DIV/0!</v>
      </c>
      <c r="BH14" s="29" t="e">
        <f t="shared" si="31"/>
        <v>#DIV/0!</v>
      </c>
      <c r="BI14" s="29" t="e">
        <f t="shared" si="31"/>
        <v>#DIV/0!</v>
      </c>
      <c r="BJ14" s="29" t="e">
        <f t="shared" si="31"/>
        <v>#DIV/0!</v>
      </c>
      <c r="BK14" s="29" t="e">
        <f t="shared" si="31"/>
        <v>#DIV/0!</v>
      </c>
    </row>
    <row r="15" spans="1:63">
      <c r="A15" s="15"/>
      <c r="B15" s="16" t="s">
        <v>89</v>
      </c>
      <c r="C15" s="17" t="s">
        <v>90</v>
      </c>
      <c r="D15" s="17"/>
      <c r="E15" s="95"/>
      <c r="F15" s="97"/>
      <c r="G15" s="97"/>
      <c r="H15" s="97"/>
      <c r="I15" s="97"/>
      <c r="J15" s="97"/>
      <c r="K15" s="97"/>
      <c r="L15" s="97"/>
      <c r="M15" s="97"/>
      <c r="N15" s="9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0</v>
      </c>
      <c r="AK15" s="29" cm="1">
        <f t="array" ref="AK15">IF(AK2&lt;=$E$10,$E$4*SUMPRODUCT($E$23:$N$23,$E$9:$N$9),0)</f>
        <v>0</v>
      </c>
      <c r="AL15" s="29" cm="1">
        <f t="array" ref="AL15">IF(AL2&lt;=$E$10,$E$4*SUMPRODUCT($E$23:$N$23,$E$9:$N$9),0)</f>
        <v>0</v>
      </c>
      <c r="AM15" s="29" cm="1">
        <f t="array" ref="AM15">IF(AM2&lt;=$E$10,$E$4*SUMPRODUCT($E$23:$N$23,$E$9:$N$9),0)</f>
        <v>0</v>
      </c>
      <c r="AN15" s="29" cm="1">
        <f t="array" ref="AN15">IF(AN2&lt;=$E$10,$E$4*SUMPRODUCT($E$23:$N$23,$E$9:$N$9),0)</f>
        <v>0</v>
      </c>
      <c r="AO15" s="29" cm="1">
        <f t="array" ref="AO15">IF(AO2&lt;=$E$10,$E$4*SUMPRODUCT($E$23:$N$23,$E$9:$N$9),0)</f>
        <v>0</v>
      </c>
      <c r="AP15" s="29" cm="1">
        <f t="array" ref="AP15">IF(AP2&lt;=$E$10,$E$4*SUMPRODUCT($E$23:$N$23,$E$9:$N$9),0)</f>
        <v>0</v>
      </c>
      <c r="AQ15" s="29" cm="1">
        <f t="array" ref="AQ15">IF(AQ2&lt;=$E$10,$E$4*SUMPRODUCT($E$23:$N$23,$E$9:$N$9),0)</f>
        <v>0</v>
      </c>
      <c r="AR15" s="29" cm="1">
        <f t="array" ref="AR15">IF(AR2&lt;=$E$10,$E$4*SUMPRODUCT($E$23:$N$23,$E$9:$N$9),0)</f>
        <v>0</v>
      </c>
      <c r="AS15" s="29" cm="1">
        <f t="array" ref="AS15">IF(AS2&lt;=$E$10,$E$4*SUMPRODUCT($E$23:$N$23,$E$9:$N$9),0)</f>
        <v>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 t="e">
        <f t="shared" ref="BA15:BK15" si="32">$E$17*12/$E$10</f>
        <v>#DIV/0!</v>
      </c>
      <c r="BB15" s="29" t="e">
        <f t="shared" si="32"/>
        <v>#DIV/0!</v>
      </c>
      <c r="BC15" s="29" t="e">
        <f t="shared" si="32"/>
        <v>#DIV/0!</v>
      </c>
      <c r="BD15" s="29" t="e">
        <f t="shared" si="32"/>
        <v>#DIV/0!</v>
      </c>
      <c r="BE15" s="29" t="e">
        <f t="shared" si="32"/>
        <v>#DIV/0!</v>
      </c>
      <c r="BF15" s="29" t="e">
        <f t="shared" si="32"/>
        <v>#DIV/0!</v>
      </c>
      <c r="BG15" s="29" t="e">
        <f t="shared" si="32"/>
        <v>#DIV/0!</v>
      </c>
      <c r="BH15" s="29" t="e">
        <f t="shared" si="32"/>
        <v>#DIV/0!</v>
      </c>
      <c r="BI15" s="29" t="e">
        <f t="shared" si="32"/>
        <v>#DIV/0!</v>
      </c>
      <c r="BJ15" s="29" t="e">
        <f t="shared" si="32"/>
        <v>#DIV/0!</v>
      </c>
      <c r="BK15" s="29" t="e">
        <f t="shared" si="32"/>
        <v>#DIV/0!</v>
      </c>
    </row>
    <row r="16" spans="1:63">
      <c r="A16" s="15"/>
      <c r="B16" s="16" t="s">
        <v>92</v>
      </c>
      <c r="C16" s="17" t="s">
        <v>93</v>
      </c>
      <c r="D16" s="17"/>
      <c r="E16" s="95"/>
      <c r="F16" s="97"/>
      <c r="G16" s="97"/>
      <c r="H16" s="97"/>
      <c r="I16" s="97"/>
      <c r="J16" s="97"/>
      <c r="K16" s="97"/>
      <c r="L16" s="97"/>
      <c r="M16" s="97"/>
      <c r="N16" s="9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 t="e">
        <f t="shared" ref="BA16:BK16" si="33">$E$18*12/$E$10</f>
        <v>#DIV/0!</v>
      </c>
      <c r="BB16" s="29" t="e">
        <f t="shared" si="33"/>
        <v>#DIV/0!</v>
      </c>
      <c r="BC16" s="29" t="e">
        <f t="shared" si="33"/>
        <v>#DIV/0!</v>
      </c>
      <c r="BD16" s="29" t="e">
        <f t="shared" si="33"/>
        <v>#DIV/0!</v>
      </c>
      <c r="BE16" s="29" t="e">
        <f t="shared" si="33"/>
        <v>#DIV/0!</v>
      </c>
      <c r="BF16" s="29" t="e">
        <f t="shared" si="33"/>
        <v>#DIV/0!</v>
      </c>
      <c r="BG16" s="29" t="e">
        <f t="shared" si="33"/>
        <v>#DIV/0!</v>
      </c>
      <c r="BH16" s="29" t="e">
        <f t="shared" si="33"/>
        <v>#DIV/0!</v>
      </c>
      <c r="BI16" s="29" t="e">
        <f t="shared" si="33"/>
        <v>#DIV/0!</v>
      </c>
      <c r="BJ16" s="29" t="e">
        <f t="shared" si="33"/>
        <v>#DIV/0!</v>
      </c>
      <c r="BK16" s="29" t="e">
        <f t="shared" si="33"/>
        <v>#DIV/0!</v>
      </c>
    </row>
    <row r="17" spans="1:63">
      <c r="A17" s="15"/>
      <c r="B17" s="16" t="s">
        <v>95</v>
      </c>
      <c r="C17" s="17" t="s">
        <v>96</v>
      </c>
      <c r="D17" s="17"/>
      <c r="E17" s="95">
        <f>4000/12</f>
        <v>333.333333333333</v>
      </c>
      <c r="F17" s="97"/>
      <c r="G17" s="97"/>
      <c r="H17" s="97"/>
      <c r="I17" s="97"/>
      <c r="J17" s="97"/>
      <c r="K17" s="97"/>
      <c r="L17" s="97"/>
      <c r="M17" s="97"/>
      <c r="N17" s="9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0</v>
      </c>
      <c r="AK17" s="29" cm="1">
        <f t="array" ref="AK17">IF(AK2&lt;=$E$10,$E$4*SUMPRODUCT($E$9:$N$9,$E$25:$N$25),0)</f>
        <v>0</v>
      </c>
      <c r="AL17" s="29" cm="1">
        <f t="array" ref="AL17">IF(AL2&lt;=$E$10,$E$4*SUMPRODUCT($E$9:$N$9,$E$25:$N$25),0)</f>
        <v>0</v>
      </c>
      <c r="AM17" s="29" cm="1">
        <f t="array" ref="AM17">IF(AM2&lt;=$E$10,$E$4*SUMPRODUCT($E$9:$N$9,$E$25:$N$25),0)</f>
        <v>0</v>
      </c>
      <c r="AN17" s="29" cm="1">
        <f t="array" ref="AN17">IF(AN2&lt;=$E$10,$E$4*SUMPRODUCT($E$9:$N$9,$E$25:$N$25),0)</f>
        <v>0</v>
      </c>
      <c r="AO17" s="29" cm="1">
        <f t="array" ref="AO17">IF(AO2&lt;=$E$10,$E$4*SUMPRODUCT($E$9:$N$9,$E$25:$N$25),0)</f>
        <v>0</v>
      </c>
      <c r="AP17" s="29" cm="1">
        <f t="array" ref="AP17">IF(AP2&lt;=$E$10,$E$4*SUMPRODUCT($E$9:$N$9,$E$25:$N$25),0)</f>
        <v>0</v>
      </c>
      <c r="AQ17" s="29" cm="1">
        <f t="array" ref="AQ17">IF(AQ2&lt;=$E$10,$E$4*SUMPRODUCT($E$9:$N$9,$E$25:$N$25),0)</f>
        <v>0</v>
      </c>
      <c r="AR17" s="29" cm="1">
        <f t="array" ref="AR17">IF(AR2&lt;=$E$10,$E$4*SUMPRODUCT($E$9:$N$9,$E$25:$N$25),0)</f>
        <v>0</v>
      </c>
      <c r="AS17" s="29" cm="1">
        <f t="array" ref="AS17">IF(AS2&lt;=$E$10,$E$4*SUMPRODUCT($E$9:$N$9,$E$25:$N$25),0)</f>
        <v>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 t="e">
        <f t="shared" ref="BA17:BK17" si="34">$E$19*12/$E$10</f>
        <v>#DIV/0!</v>
      </c>
      <c r="BB17" s="29" t="e">
        <f t="shared" si="34"/>
        <v>#DIV/0!</v>
      </c>
      <c r="BC17" s="29" t="e">
        <f t="shared" si="34"/>
        <v>#DIV/0!</v>
      </c>
      <c r="BD17" s="29" t="e">
        <f t="shared" si="34"/>
        <v>#DIV/0!</v>
      </c>
      <c r="BE17" s="29" t="e">
        <f t="shared" si="34"/>
        <v>#DIV/0!</v>
      </c>
      <c r="BF17" s="29" t="e">
        <f t="shared" si="34"/>
        <v>#DIV/0!</v>
      </c>
      <c r="BG17" s="29" t="e">
        <f t="shared" si="34"/>
        <v>#DIV/0!</v>
      </c>
      <c r="BH17" s="29" t="e">
        <f t="shared" si="34"/>
        <v>#DIV/0!</v>
      </c>
      <c r="BI17" s="29" t="e">
        <f t="shared" si="34"/>
        <v>#DIV/0!</v>
      </c>
      <c r="BJ17" s="29" t="e">
        <f t="shared" si="34"/>
        <v>#DIV/0!</v>
      </c>
      <c r="BK17" s="29" t="e">
        <f t="shared" si="34"/>
        <v>#DIV/0!</v>
      </c>
    </row>
    <row r="18" spans="1:63">
      <c r="A18" s="15"/>
      <c r="B18" s="16" t="s">
        <v>98</v>
      </c>
      <c r="C18" s="17" t="s">
        <v>99</v>
      </c>
      <c r="D18" s="17"/>
      <c r="E18" s="95"/>
      <c r="F18" s="97"/>
      <c r="G18" s="97"/>
      <c r="H18" s="97"/>
      <c r="I18" s="97"/>
      <c r="J18" s="97"/>
      <c r="K18" s="97"/>
      <c r="L18" s="97"/>
      <c r="M18" s="97"/>
      <c r="N18" s="97"/>
      <c r="Q18" s="90" t="s">
        <v>20</v>
      </c>
      <c r="R18" s="20">
        <f>$E$4*$E$7*$E$8*$E$9</f>
        <v>0</v>
      </c>
      <c r="S18" s="51" t="e">
        <f>SUM($S$41:$S$49)</f>
        <v>#DIV/0!</v>
      </c>
      <c r="T18" s="51" t="e">
        <f>SUM($S$50:$S$55)</f>
        <v>#DIV/0!</v>
      </c>
      <c r="U18" s="51" t="e">
        <f>SUM($S$56:$S$57)</f>
        <v>#DIV/0!</v>
      </c>
      <c r="V18" s="29" t="e">
        <f>MAX(0,S58-S59)</f>
        <v>#DIV/0!</v>
      </c>
      <c r="W18" s="51" t="e">
        <f t="shared" ref="W18:W28" si="35">R18-S18-T18-U18-V18</f>
        <v>#DIV/0!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0</v>
      </c>
      <c r="AK18" s="29" cm="1">
        <f t="array" ref="AK18">IF(AK2&lt;=$E$10,$E$4*$E$5*SUMPRODUCT(IF($E$8:$N$8,$E$32,$E$33),$E$6:$N$6,$E$9:$N$9),0)</f>
        <v>0</v>
      </c>
      <c r="AL18" s="29" cm="1">
        <f t="array" ref="AL18">IF(AL2&lt;=$E$10,$E$4*$E$5*SUMPRODUCT(IF($E$8:$N$8,$E$32,$E$33),$E$6:$N$6,$E$9:$N$9),0)</f>
        <v>0</v>
      </c>
      <c r="AM18" s="29" cm="1">
        <f t="array" ref="AM18">IF(AM2&lt;=$E$10,$E$4*$E$5*SUMPRODUCT(IF($E$8:$N$8,$E$32,$E$33),$E$6:$N$6,$E$9:$N$9),0)</f>
        <v>0</v>
      </c>
      <c r="AN18" s="29" cm="1">
        <f t="array" ref="AN18">IF(AN2&lt;=$E$10,$E$4*$E$5*SUMPRODUCT(IF($E$8:$N$8,$E$32,$E$33),$E$6:$N$6,$E$9:$N$9),0)</f>
        <v>0</v>
      </c>
      <c r="AO18" s="29" cm="1">
        <f t="array" ref="AO18">IF(AO2&lt;=$E$10,$E$4*$E$5*SUMPRODUCT(IF($E$8:$N$8,$E$32,$E$33),$E$6:$N$6,$E$9:$N$9),0)</f>
        <v>0</v>
      </c>
      <c r="AP18" s="29" cm="1">
        <f t="array" ref="AP18">IF(AP2&lt;=$E$10,$E$4*$E$5*SUMPRODUCT(IF($E$8:$N$8,$E$32,$E$33),$E$6:$N$6,$E$9:$N$9),0)</f>
        <v>0</v>
      </c>
      <c r="AQ18" s="29" cm="1">
        <f t="array" ref="AQ18">IF(AQ2&lt;=$E$10,$E$4*$E$5*SUMPRODUCT(IF($E$8:$N$8,$E$32,$E$33),$E$6:$N$6,$E$9:$N$9),0)</f>
        <v>0</v>
      </c>
      <c r="AR18" s="29" cm="1">
        <f t="array" ref="AR18">IF(AR2&lt;=$E$10,$E$4*$E$5*SUMPRODUCT(IF($E$8:$N$8,$E$32,$E$33),$E$6:$N$6,$E$9:$N$9),0)</f>
        <v>0</v>
      </c>
      <c r="AS18" s="29" cm="1">
        <f t="array" ref="AS18">IF(AS2&lt;=$E$10,$E$4*$E$5*SUMPRODUCT(IF($E$8:$N$8,$E$32,$E$33),$E$6:$N$6,$E$9:$N$9),0)</f>
        <v>0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 t="e">
        <f t="shared" ref="BA18:BK18" si="36">$E$20*12/$E$10</f>
        <v>#DIV/0!</v>
      </c>
      <c r="BB18" s="29" t="e">
        <f t="shared" si="36"/>
        <v>#DIV/0!</v>
      </c>
      <c r="BC18" s="29" t="e">
        <f t="shared" si="36"/>
        <v>#DIV/0!</v>
      </c>
      <c r="BD18" s="29" t="e">
        <f t="shared" si="36"/>
        <v>#DIV/0!</v>
      </c>
      <c r="BE18" s="29" t="e">
        <f t="shared" si="36"/>
        <v>#DIV/0!</v>
      </c>
      <c r="BF18" s="29" t="e">
        <f t="shared" si="36"/>
        <v>#DIV/0!</v>
      </c>
      <c r="BG18" s="29" t="e">
        <f t="shared" si="36"/>
        <v>#DIV/0!</v>
      </c>
      <c r="BH18" s="29" t="e">
        <f t="shared" si="36"/>
        <v>#DIV/0!</v>
      </c>
      <c r="BI18" s="29" t="e">
        <f t="shared" si="36"/>
        <v>#DIV/0!</v>
      </c>
      <c r="BJ18" s="29" t="e">
        <f t="shared" si="36"/>
        <v>#DIV/0!</v>
      </c>
      <c r="BK18" s="29" t="e">
        <f t="shared" si="36"/>
        <v>#DIV/0!</v>
      </c>
    </row>
    <row r="19" spans="1:63">
      <c r="A19" s="15"/>
      <c r="B19" s="16" t="s">
        <v>101</v>
      </c>
      <c r="C19" s="17" t="s">
        <v>102</v>
      </c>
      <c r="D19" s="17"/>
      <c r="E19" s="95"/>
      <c r="F19" s="97"/>
      <c r="G19" s="97"/>
      <c r="H19" s="97"/>
      <c r="I19" s="97"/>
      <c r="J19" s="97"/>
      <c r="K19" s="97"/>
      <c r="L19" s="97"/>
      <c r="M19" s="97"/>
      <c r="N19" s="97"/>
      <c r="Q19" s="90" t="s">
        <v>22</v>
      </c>
      <c r="R19" s="20">
        <f>$E$4*$F$7*$F$8*$F$9</f>
        <v>0</v>
      </c>
      <c r="S19" s="51" t="e">
        <f>SUM($T$41:$T$49)</f>
        <v>#DIV/0!</v>
      </c>
      <c r="T19" s="51" t="e">
        <f>SUM($T$50:$T$55)</f>
        <v>#DIV/0!</v>
      </c>
      <c r="U19" s="51" t="e">
        <f>SUM($T$56:$T$57)</f>
        <v>#DIV/0!</v>
      </c>
      <c r="V19" s="29" t="e">
        <f>MAX(0,T58-T59)</f>
        <v>#DIV/0!</v>
      </c>
      <c r="W19" s="51" t="e">
        <f t="shared" si="35"/>
        <v>#DIV/0!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0</v>
      </c>
      <c r="AK19" s="24" cm="1">
        <f t="array" ref="AK19">IF(AK2&lt;=$E$10,SUMPRODUCT($E$6:$N$6,$E$9:$N$9)/$E$29*$E$30*$E$4*$E$31,0)</f>
        <v>0</v>
      </c>
      <c r="AL19" s="24" cm="1">
        <f t="array" ref="AL19">IF(AL2&lt;=$E$10,SUMPRODUCT($E$6:$N$6,$E$9:$N$9)/$E$29*$E$30*$E$4*$E$31,0)</f>
        <v>0</v>
      </c>
      <c r="AM19" s="24" cm="1">
        <f t="array" ref="AM19">IF(AM2&lt;=$E$10,SUMPRODUCT($E$6:$N$6,$E$9:$N$9)/$E$29*$E$30*$E$4*$E$31,0)</f>
        <v>0</v>
      </c>
      <c r="AN19" s="24" cm="1">
        <f t="array" ref="AN19">IF(AN2&lt;=$E$10,SUMPRODUCT($E$6:$N$6,$E$9:$N$9)/$E$29*$E$30*$E$4*$E$31,0)</f>
        <v>0</v>
      </c>
      <c r="AO19" s="24" cm="1">
        <f t="array" ref="AO19">IF(AO2&lt;=$E$10,SUMPRODUCT($E$6:$N$6,$E$9:$N$9)/$E$29*$E$30*$E$4*$E$31,0)</f>
        <v>0</v>
      </c>
      <c r="AP19" s="24" cm="1">
        <f t="array" ref="AP19">IF(AP2&lt;=$E$10,SUMPRODUCT($E$6:$N$6,$E$9:$N$9)/$E$29*$E$30*$E$4*$E$31,0)</f>
        <v>0</v>
      </c>
      <c r="AQ19" s="24" cm="1">
        <f t="array" ref="AQ19">IF(AQ2&lt;=$E$10,SUMPRODUCT($E$6:$N$6,$E$9:$N$9)/$E$29*$E$30*$E$4*$E$31,0)</f>
        <v>0</v>
      </c>
      <c r="AR19" s="24" cm="1">
        <f t="array" ref="AR19">IF(AR2&lt;=$E$10,SUMPRODUCT($E$6:$N$6,$E$9:$N$9)/$E$29*$E$30*$E$4*$E$31,0)</f>
        <v>0</v>
      </c>
      <c r="AS19" s="24" cm="1">
        <f t="array" ref="AS19">IF(AS2&lt;=$E$10,SUMPRODUCT($E$6:$N$6,$E$9:$N$9)/$E$29*$E$30*$E$4*$E$31,0)</f>
        <v>0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 t="e">
        <f t="shared" ref="BA19:BK19" si="37">$E$21*12/$E$10</f>
        <v>#DIV/0!</v>
      </c>
      <c r="BB19" s="24" t="e">
        <f t="shared" si="37"/>
        <v>#DIV/0!</v>
      </c>
      <c r="BC19" s="24" t="e">
        <f t="shared" si="37"/>
        <v>#DIV/0!</v>
      </c>
      <c r="BD19" s="24" t="e">
        <f t="shared" si="37"/>
        <v>#DIV/0!</v>
      </c>
      <c r="BE19" s="24" t="e">
        <f t="shared" si="37"/>
        <v>#DIV/0!</v>
      </c>
      <c r="BF19" s="24" t="e">
        <f t="shared" si="37"/>
        <v>#DIV/0!</v>
      </c>
      <c r="BG19" s="24" t="e">
        <f t="shared" si="37"/>
        <v>#DIV/0!</v>
      </c>
      <c r="BH19" s="24" t="e">
        <f t="shared" si="37"/>
        <v>#DIV/0!</v>
      </c>
      <c r="BI19" s="24" t="e">
        <f t="shared" si="37"/>
        <v>#DIV/0!</v>
      </c>
      <c r="BJ19" s="24" t="e">
        <f t="shared" si="37"/>
        <v>#DIV/0!</v>
      </c>
      <c r="BK19" s="24" t="e">
        <f t="shared" si="37"/>
        <v>#DIV/0!</v>
      </c>
    </row>
    <row r="20" spans="1:63">
      <c r="A20" s="15"/>
      <c r="B20" s="16" t="s">
        <v>104</v>
      </c>
      <c r="C20" s="17" t="s">
        <v>105</v>
      </c>
      <c r="D20" s="17"/>
      <c r="E20" s="95">
        <f>4000/12</f>
        <v>333.333333333333</v>
      </c>
      <c r="F20" s="95"/>
      <c r="G20" s="95"/>
      <c r="H20" s="95"/>
      <c r="I20" s="95"/>
      <c r="J20" s="95"/>
      <c r="K20" s="95"/>
      <c r="L20" s="95"/>
      <c r="M20" s="95"/>
      <c r="N20" s="95"/>
      <c r="Q20" s="90" t="s">
        <v>24</v>
      </c>
      <c r="R20" s="20">
        <f>$E$4*$G$7*$G$8*$G$9</f>
        <v>0</v>
      </c>
      <c r="S20" s="51" t="e">
        <f>SUM($U$41:$U$49)</f>
        <v>#DIV/0!</v>
      </c>
      <c r="T20" s="51" t="e">
        <f>SUM($U$50:$U$55)</f>
        <v>#DIV/0!</v>
      </c>
      <c r="U20" s="51" t="e">
        <f>SUM($U$56:$U$57)</f>
        <v>#DIV/0!</v>
      </c>
      <c r="V20" s="29" t="e">
        <f>MAX(0,U58-U59)</f>
        <v>#DIV/0!</v>
      </c>
      <c r="W20" s="51" t="e">
        <f t="shared" si="35"/>
        <v>#DIV/0!</v>
      </c>
      <c r="AE20" s="27"/>
      <c r="AF20" s="37"/>
      <c r="AG20" s="28" t="s">
        <v>16</v>
      </c>
      <c r="AH20" s="1" t="s">
        <v>106</v>
      </c>
      <c r="AI20" s="35"/>
      <c r="AJ20" s="29">
        <f t="shared" ref="AJ20:AU20" si="38">AJ3*$E$34/12*$E$26</f>
        <v>0</v>
      </c>
      <c r="AK20" s="29">
        <f t="shared" si="38"/>
        <v>0</v>
      </c>
      <c r="AL20" s="29">
        <f t="shared" si="38"/>
        <v>0</v>
      </c>
      <c r="AM20" s="29">
        <f t="shared" si="38"/>
        <v>0</v>
      </c>
      <c r="AN20" s="29">
        <f t="shared" si="38"/>
        <v>0</v>
      </c>
      <c r="AO20" s="29">
        <f t="shared" si="38"/>
        <v>0</v>
      </c>
      <c r="AP20" s="29">
        <f t="shared" si="38"/>
        <v>0</v>
      </c>
      <c r="AQ20" s="29">
        <f t="shared" si="38"/>
        <v>0</v>
      </c>
      <c r="AR20" s="29">
        <f t="shared" si="38"/>
        <v>0</v>
      </c>
      <c r="AS20" s="29">
        <f t="shared" si="38"/>
        <v>0</v>
      </c>
      <c r="AT20" s="29">
        <f t="shared" si="38"/>
        <v>0</v>
      </c>
      <c r="AU20" s="29">
        <f t="shared" si="38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0</v>
      </c>
      <c r="BB20" s="29" cm="1">
        <f t="array" ref="BB20">_xlfn.LET(_xlpm.n,IF($AX$5="✔",$AZ$5,0),SUMPRODUCT($E$9:$N$9+BB$2*_xlpm.n,$E$22:$N$22))</f>
        <v>0</v>
      </c>
      <c r="BC20" s="29" cm="1">
        <f t="array" ref="BC20">_xlfn.LET(_xlpm.n,IF($AX$5="✔",$AZ$5,0),SUMPRODUCT($E$9:$N$9+BC$2*_xlpm.n,$E$22:$N$22))</f>
        <v>0</v>
      </c>
      <c r="BD20" s="29" cm="1">
        <f t="array" ref="BD20">_xlfn.LET(_xlpm.n,IF($AX$5="✔",$AZ$5,0),SUMPRODUCT($E$9:$N$9+BD$2*_xlpm.n,$E$22:$N$22))</f>
        <v>0</v>
      </c>
      <c r="BE20" s="29" cm="1">
        <f t="array" ref="BE20">_xlfn.LET(_xlpm.n,IF($AX$5="✔",$AZ$5,0),SUMPRODUCT($E$9:$N$9+BE$2*_xlpm.n,$E$22:$N$22))</f>
        <v>0</v>
      </c>
      <c r="BF20" s="29" cm="1">
        <f t="array" ref="BF20">SUMPRODUCT($E$9:$N$9,$E$22:$N$22)</f>
        <v>0</v>
      </c>
      <c r="BG20" s="29" cm="1">
        <f t="array" ref="BG20">_xlfn.LET(_xlpm.n,IF($AX$5="✔",$AZ$5,0),SUMPRODUCT($E$9:$N$9+BG$2*_xlpm.n,$E$22:$N$22))</f>
        <v>0</v>
      </c>
      <c r="BH20" s="29" cm="1">
        <f t="array" ref="BH20">_xlfn.LET(_xlpm.n,IF($AX$5="✔",$AZ$5,0),SUMPRODUCT($E$9:$N$9+BH$2*_xlpm.n,$E$22:$N$22))</f>
        <v>0</v>
      </c>
      <c r="BI20" s="29" cm="1">
        <f t="array" ref="BI20">_xlfn.LET(_xlpm.n,IF($AX$5="✔",$AZ$5,0),SUMPRODUCT($E$9:$N$9+BI$2*_xlpm.n,$E$22:$N$22))</f>
        <v>0</v>
      </c>
      <c r="BJ20" s="29" cm="1">
        <f t="array" ref="BJ20">_xlfn.LET(_xlpm.n,IF($AX$5="✔",$AZ$5,0),SUMPRODUCT($E$9:$N$9+BJ$2*_xlpm.n,$E$22:$N$22))</f>
        <v>0</v>
      </c>
      <c r="BK20" s="29" cm="1">
        <f t="array" ref="BK20">_xlfn.LET(_xlpm.n,IF($AX$5="✔",$AZ$5,0),SUMPRODUCT($E$9:$N$9+BK$2*_xlpm.n,$E$22:$N$22))</f>
        <v>0</v>
      </c>
    </row>
    <row r="21" spans="1:63">
      <c r="A21" s="15"/>
      <c r="B21" s="16" t="s">
        <v>107</v>
      </c>
      <c r="C21" s="17" t="s">
        <v>108</v>
      </c>
      <c r="D21" s="17"/>
      <c r="E21" s="95">
        <v>200</v>
      </c>
      <c r="F21" s="95"/>
      <c r="G21" s="95"/>
      <c r="H21" s="95"/>
      <c r="I21" s="95"/>
      <c r="J21" s="95"/>
      <c r="K21" s="95"/>
      <c r="L21" s="95"/>
      <c r="M21" s="95"/>
      <c r="N21" s="95"/>
      <c r="Q21" s="90" t="s">
        <v>25</v>
      </c>
      <c r="R21" s="20">
        <f>$E$4*$H$7*$H$8*$H$9</f>
        <v>0</v>
      </c>
      <c r="S21" s="51" t="e">
        <f>SUM($V$41:$V$49)</f>
        <v>#DIV/0!</v>
      </c>
      <c r="T21" s="51" t="e">
        <f>SUM($V$50:$V$55)</f>
        <v>#DIV/0!</v>
      </c>
      <c r="U21" s="51" t="e">
        <f>SUM($V$56:$V$57)</f>
        <v>#DIV/0!</v>
      </c>
      <c r="V21" s="29" t="e">
        <f>MAX(0,V58-V59)</f>
        <v>#DIV/0!</v>
      </c>
      <c r="W21" s="51" t="e">
        <f t="shared" si="35"/>
        <v>#DIV/0!</v>
      </c>
      <c r="AE21" s="27"/>
      <c r="AF21" s="27"/>
      <c r="AG21" s="28"/>
      <c r="AH21" s="1" t="s">
        <v>109</v>
      </c>
      <c r="AI21" s="35"/>
      <c r="AJ21" s="29">
        <f t="shared" ref="AJ21:AU21" si="39">SUM(AJ5:AJ19)*$E$35/12*$E$27</f>
        <v>0</v>
      </c>
      <c r="AK21" s="29">
        <f t="shared" si="39"/>
        <v>0</v>
      </c>
      <c r="AL21" s="29">
        <f t="shared" si="39"/>
        <v>0</v>
      </c>
      <c r="AM21" s="29">
        <f t="shared" si="39"/>
        <v>0</v>
      </c>
      <c r="AN21" s="29">
        <f t="shared" si="39"/>
        <v>0</v>
      </c>
      <c r="AO21" s="29">
        <f t="shared" si="39"/>
        <v>0</v>
      </c>
      <c r="AP21" s="29">
        <f t="shared" si="39"/>
        <v>0</v>
      </c>
      <c r="AQ21" s="29">
        <f t="shared" si="39"/>
        <v>0</v>
      </c>
      <c r="AR21" s="29">
        <f t="shared" si="39"/>
        <v>0</v>
      </c>
      <c r="AS21" s="29">
        <f t="shared" si="39"/>
        <v>0</v>
      </c>
      <c r="AT21" s="29">
        <f t="shared" si="39"/>
        <v>0</v>
      </c>
      <c r="AU21" s="29">
        <f t="shared" si="39"/>
        <v>0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0</v>
      </c>
      <c r="BB21" s="29" cm="1">
        <f t="array" ref="BB21">_xlfn.LET(_xlpm.n,IF($AX$5="✔",$AZ$5,0),SUMPRODUCT($E$9:$N$9+BB$2*_xlpm.n,$E$23:$N$23))</f>
        <v>0</v>
      </c>
      <c r="BC21" s="29" cm="1">
        <f t="array" ref="BC21">_xlfn.LET(_xlpm.n,IF($AX$5="✔",$AZ$5,0),SUMPRODUCT($E$9:$N$9+BC$2*_xlpm.n,$E$23:$N$23))</f>
        <v>0</v>
      </c>
      <c r="BD21" s="29" cm="1">
        <f t="array" ref="BD21">_xlfn.LET(_xlpm.n,IF($AX$5="✔",$AZ$5,0),SUMPRODUCT($E$9:$N$9+BD$2*_xlpm.n,$E$23:$N$23))</f>
        <v>0</v>
      </c>
      <c r="BE21" s="29" cm="1">
        <f t="array" ref="BE21">_xlfn.LET(_xlpm.n,IF($AX$5="✔",$AZ$5,0),SUMPRODUCT($E$9:$N$9+BE$2*_xlpm.n,$E$23:$N$23))</f>
        <v>0</v>
      </c>
      <c r="BF21" s="29" cm="1">
        <f t="array" ref="BF21">SUMPRODUCT($E$9:$N$9,$E$23:$N$23)</f>
        <v>0</v>
      </c>
      <c r="BG21" s="29" cm="1">
        <f t="array" ref="BG21">_xlfn.LET(_xlpm.n,IF($AX$5="✔",$AZ$5,0),SUMPRODUCT($E$9:$N$9+BG$2*_xlpm.n,$E$23:$N$23))</f>
        <v>0</v>
      </c>
      <c r="BH21" s="29" cm="1">
        <f t="array" ref="BH21">_xlfn.LET(_xlpm.n,IF($AX$5="✔",$AZ$5,0),SUMPRODUCT($E$9:$N$9+BH$2*_xlpm.n,$E$23:$N$23))</f>
        <v>0</v>
      </c>
      <c r="BI21" s="29" cm="1">
        <f t="array" ref="BI21">_xlfn.LET(_xlpm.n,IF($AX$5="✔",$AZ$5,0),SUMPRODUCT($E$9:$N$9+BI$2*_xlpm.n,$E$23:$N$23))</f>
        <v>0</v>
      </c>
      <c r="BJ21" s="29" cm="1">
        <f t="array" ref="BJ21">_xlfn.LET(_xlpm.n,IF($AX$5="✔",$AZ$5,0),SUMPRODUCT($E$9:$N$9+BJ$2*_xlpm.n,$E$23:$N$23))</f>
        <v>0</v>
      </c>
      <c r="BK21" s="29" cm="1">
        <f t="array" ref="BK21">_xlfn.LET(_xlpm.n,IF($AX$5="✔",$AZ$5,0),SUMPRODUCT($E$9:$N$9+BK$2*_xlpm.n,$E$23:$N$23))</f>
        <v>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95"/>
      <c r="F22" s="98"/>
      <c r="G22" s="98"/>
      <c r="H22" s="98"/>
      <c r="I22" s="98"/>
      <c r="J22" s="98"/>
      <c r="K22" s="98"/>
      <c r="L22" s="98"/>
      <c r="M22" s="98"/>
      <c r="N22" s="98"/>
      <c r="Q22" s="90" t="s">
        <v>26</v>
      </c>
      <c r="R22" s="20">
        <f>$E$4*$I$7*$I$8*$I$9</f>
        <v>0</v>
      </c>
      <c r="S22" s="51" t="e">
        <f>SUM($W$41:$W$49)</f>
        <v>#DIV/0!</v>
      </c>
      <c r="T22" s="51" t="e">
        <f>SUM($W$50:$W$55)</f>
        <v>#DIV/0!</v>
      </c>
      <c r="U22" s="51" t="e">
        <f>SUM($W$56:$W$57)</f>
        <v>#DIV/0!</v>
      </c>
      <c r="V22" s="29" t="e">
        <f>MAX(0,W58-W59)</f>
        <v>#DIV/0!</v>
      </c>
      <c r="W22" s="51" t="e">
        <f t="shared" si="35"/>
        <v>#DIV/0!</v>
      </c>
      <c r="AE22" s="27"/>
      <c r="AF22" s="37"/>
      <c r="AG22" s="53" t="s">
        <v>17</v>
      </c>
      <c r="AH22" s="54" t="s">
        <v>112</v>
      </c>
      <c r="AI22" s="55"/>
      <c r="AJ22" s="55">
        <f t="shared" ref="AJ22:AU22" si="40">AJ3*0.09/1.09</f>
        <v>0</v>
      </c>
      <c r="AK22" s="55">
        <f t="shared" si="40"/>
        <v>0</v>
      </c>
      <c r="AL22" s="55">
        <f t="shared" si="40"/>
        <v>0</v>
      </c>
      <c r="AM22" s="55">
        <f t="shared" si="40"/>
        <v>0</v>
      </c>
      <c r="AN22" s="55">
        <f t="shared" si="40"/>
        <v>0</v>
      </c>
      <c r="AO22" s="55">
        <f t="shared" si="40"/>
        <v>0</v>
      </c>
      <c r="AP22" s="55">
        <f t="shared" si="40"/>
        <v>0</v>
      </c>
      <c r="AQ22" s="55">
        <f t="shared" si="40"/>
        <v>0</v>
      </c>
      <c r="AR22" s="55">
        <f t="shared" si="40"/>
        <v>0</v>
      </c>
      <c r="AS22" s="55">
        <f t="shared" si="40"/>
        <v>0</v>
      </c>
      <c r="AT22" s="55">
        <f t="shared" si="40"/>
        <v>0</v>
      </c>
      <c r="AU22" s="55">
        <f t="shared" si="40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95"/>
      <c r="F23" s="98"/>
      <c r="G23" s="98"/>
      <c r="H23" s="98"/>
      <c r="I23" s="98"/>
      <c r="J23" s="98"/>
      <c r="K23" s="98"/>
      <c r="L23" s="98"/>
      <c r="M23" s="98"/>
      <c r="N23" s="98"/>
      <c r="Q23" s="90" t="s">
        <v>27</v>
      </c>
      <c r="R23" s="20">
        <f>$E$4*$J$7*$J$8*$J$9</f>
        <v>0</v>
      </c>
      <c r="S23" s="51" t="e">
        <f>SUM($X$41:$X$49)</f>
        <v>#DIV/0!</v>
      </c>
      <c r="T23" s="51" t="e">
        <f>SUM($X$50:$X$55)</f>
        <v>#DIV/0!</v>
      </c>
      <c r="U23" s="51" t="e">
        <f>SUM($X$56:$X$57)</f>
        <v>#DIV/0!</v>
      </c>
      <c r="V23" s="29" t="e">
        <f>MAX(0,X58-X59)</f>
        <v>#DIV/0!</v>
      </c>
      <c r="W23" s="51" t="e">
        <f t="shared" si="35"/>
        <v>#DIV/0!</v>
      </c>
      <c r="AE23" s="27"/>
      <c r="AF23" s="27"/>
      <c r="AG23" s="28"/>
      <c r="AH23" s="56" t="s">
        <v>115</v>
      </c>
      <c r="AI23" s="57">
        <f>AI4*0.13/1.13</f>
        <v>0</v>
      </c>
      <c r="AJ23" s="57">
        <f t="shared" ref="AJ23:AU23" si="41">(AJ5+AJ18+AJ19)*0.13/1.13+AJ10*0.06/1.06</f>
        <v>0</v>
      </c>
      <c r="AK23" s="57">
        <f t="shared" si="41"/>
        <v>0</v>
      </c>
      <c r="AL23" s="57">
        <f t="shared" si="41"/>
        <v>0</v>
      </c>
      <c r="AM23" s="57">
        <f t="shared" si="41"/>
        <v>0</v>
      </c>
      <c r="AN23" s="57">
        <f t="shared" si="41"/>
        <v>0</v>
      </c>
      <c r="AO23" s="57">
        <f t="shared" si="41"/>
        <v>0</v>
      </c>
      <c r="AP23" s="57">
        <f t="shared" si="41"/>
        <v>0</v>
      </c>
      <c r="AQ23" s="57">
        <f t="shared" si="41"/>
        <v>0</v>
      </c>
      <c r="AR23" s="57">
        <f t="shared" si="41"/>
        <v>0</v>
      </c>
      <c r="AS23" s="57">
        <f t="shared" si="41"/>
        <v>0</v>
      </c>
      <c r="AT23" s="57">
        <f t="shared" si="41"/>
        <v>0</v>
      </c>
      <c r="AU23" s="57">
        <f t="shared" si="41"/>
        <v>0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0</v>
      </c>
      <c r="BB23" s="29" cm="1">
        <f t="array" ref="BB23">_xlfn.LET(_xlpm.n,IF($AX$5="✔",$AZ$5,0),SUMPRODUCT($E$9:$N$9+BB$2*_xlpm.n,$E$25:$N$25))</f>
        <v>0</v>
      </c>
      <c r="BC23" s="29" cm="1">
        <f t="array" ref="BC23">_xlfn.LET(_xlpm.n,IF($AX$5="✔",$AZ$5,0),SUMPRODUCT($E$9:$N$9+BC$2*_xlpm.n,$E$25:$N$25))</f>
        <v>0</v>
      </c>
      <c r="BD23" s="29" cm="1">
        <f t="array" ref="BD23">_xlfn.LET(_xlpm.n,IF($AX$5="✔",$AZ$5,0),SUMPRODUCT($E$9:$N$9+BD$2*_xlpm.n,$E$25:$N$25))</f>
        <v>0</v>
      </c>
      <c r="BE23" s="29" cm="1">
        <f t="array" ref="BE23">_xlfn.LET(_xlpm.n,IF($AX$5="✔",$AZ$5,0),SUMPRODUCT($E$9:$N$9+BE$2*_xlpm.n,$E$25:$N$25))</f>
        <v>0</v>
      </c>
      <c r="BF23" s="29" cm="1">
        <f t="array" ref="BF23">SUMPRODUCT($E$9:$N$9,$E$25:$N$25)</f>
        <v>0</v>
      </c>
      <c r="BG23" s="29" cm="1">
        <f t="array" ref="BG23">_xlfn.LET(_xlpm.n,IF($AX$5="✔",$AZ$5,0),SUMPRODUCT($E$9:$N$9+BG$2*_xlpm.n,$E$25:$N$25))</f>
        <v>0</v>
      </c>
      <c r="BH23" s="29" cm="1">
        <f t="array" ref="BH23">_xlfn.LET(_xlpm.n,IF($AX$5="✔",$AZ$5,0),SUMPRODUCT($E$9:$N$9+BH$2*_xlpm.n,$E$25:$N$25))</f>
        <v>0</v>
      </c>
      <c r="BI23" s="29" cm="1">
        <f t="array" ref="BI23">_xlfn.LET(_xlpm.n,IF($AX$5="✔",$AZ$5,0),SUMPRODUCT($E$9:$N$9+BI$2*_xlpm.n,$E$25:$N$25))</f>
        <v>0</v>
      </c>
      <c r="BJ23" s="29" cm="1">
        <f t="array" ref="BJ23">_xlfn.LET(_xlpm.n,IF($AX$5="✔",$AZ$5,0),SUMPRODUCT($E$9:$N$9+BJ$2*_xlpm.n,$E$25:$N$25))</f>
        <v>0</v>
      </c>
      <c r="BK23" s="29" cm="1">
        <f t="array" ref="BK23">_xlfn.LET(_xlpm.n,IF($AX$5="✔",$AZ$5,0),SUMPRODUCT($E$9:$N$9+BK$2*_xlpm.n,$E$25:$N$25))</f>
        <v>0</v>
      </c>
    </row>
    <row r="24" spans="1:63">
      <c r="A24" s="15"/>
      <c r="B24" s="16" t="s">
        <v>116</v>
      </c>
      <c r="C24" s="17" t="s">
        <v>117</v>
      </c>
      <c r="D24" s="17"/>
      <c r="E24" s="95"/>
      <c r="F24" s="98"/>
      <c r="G24" s="98"/>
      <c r="H24" s="98"/>
      <c r="I24" s="98"/>
      <c r="J24" s="98"/>
      <c r="K24" s="98"/>
      <c r="L24" s="98"/>
      <c r="M24" s="98"/>
      <c r="N24" s="98"/>
      <c r="Q24" s="90" t="s">
        <v>28</v>
      </c>
      <c r="R24" s="20">
        <f>$E$4*$K$7*$K$8*$K$9</f>
        <v>0</v>
      </c>
      <c r="S24" s="51" t="e">
        <f>SUM($Y$41:$Y$49)</f>
        <v>#DIV/0!</v>
      </c>
      <c r="T24" s="51" t="e">
        <f>SUM($Y$50:$Y$55)</f>
        <v>#DIV/0!</v>
      </c>
      <c r="U24" s="51" t="e">
        <f>SUM($Y$56:$Y$57)</f>
        <v>#DIV/0!</v>
      </c>
      <c r="V24" s="29" t="e">
        <f>MAX(0,Y58-Y59)</f>
        <v>#DIV/0!</v>
      </c>
      <c r="W24" s="51" t="e">
        <f t="shared" si="35"/>
        <v>#DIV/0!</v>
      </c>
      <c r="AE24" s="27"/>
      <c r="AF24" s="27"/>
      <c r="AG24" s="22"/>
      <c r="AH24" s="50" t="s">
        <v>118</v>
      </c>
      <c r="AI24" s="24">
        <f t="shared" ref="AI24:AU24" si="42">AI22-AI23</f>
        <v>0</v>
      </c>
      <c r="AJ24" s="24">
        <f t="shared" si="42"/>
        <v>0</v>
      </c>
      <c r="AK24" s="24">
        <f t="shared" si="42"/>
        <v>0</v>
      </c>
      <c r="AL24" s="24">
        <f t="shared" si="42"/>
        <v>0</v>
      </c>
      <c r="AM24" s="24">
        <f t="shared" si="42"/>
        <v>0</v>
      </c>
      <c r="AN24" s="24">
        <f t="shared" si="42"/>
        <v>0</v>
      </c>
      <c r="AO24" s="24">
        <f t="shared" si="42"/>
        <v>0</v>
      </c>
      <c r="AP24" s="24">
        <f t="shared" si="42"/>
        <v>0</v>
      </c>
      <c r="AQ24" s="24">
        <f t="shared" si="42"/>
        <v>0</v>
      </c>
      <c r="AR24" s="24">
        <f t="shared" si="42"/>
        <v>0</v>
      </c>
      <c r="AS24" s="24">
        <f t="shared" si="42"/>
        <v>0</v>
      </c>
      <c r="AT24" s="24">
        <f t="shared" si="42"/>
        <v>0</v>
      </c>
      <c r="AU24" s="24">
        <f t="shared" si="42"/>
        <v>0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0</v>
      </c>
      <c r="BB24" s="29" cm="1">
        <f t="array" ref="BB24">_xlfn.LET(_xlpm.n,IF($AX$5="✔",$AZ$5,0),BB$3*SUMPRODUCT(IF($E$8:$N$8,BB$7,$E$33),$E$6:$N$6,$E$9:$N$9+BB$2*_xlpm.n))</f>
        <v>0</v>
      </c>
      <c r="BC24" s="29" cm="1">
        <f t="array" ref="BC24">_xlfn.LET(_xlpm.n,IF($AX$5="✔",$AZ$5,0),BC$3*SUMPRODUCT(IF($E$8:$N$8,BC$7,$E$33),$E$6:$N$6,$E$9:$N$9+BC$2*_xlpm.n))</f>
        <v>0</v>
      </c>
      <c r="BD24" s="29" cm="1">
        <f t="array" ref="BD24">_xlfn.LET(_xlpm.n,IF($AX$5="✔",$AZ$5,0),BD$3*SUMPRODUCT(IF($E$8:$N$8,BD$7,$E$33),$E$6:$N$6,$E$9:$N$9+BD$2*_xlpm.n))</f>
        <v>0</v>
      </c>
      <c r="BE24" s="29" cm="1">
        <f t="array" ref="BE24">_xlfn.LET(_xlpm.n,IF($AX$5="✔",$AZ$5,0),BE$3*SUMPRODUCT(IF($E$8:$N$8,BE$7,$E$33),$E$6:$N$6,$E$9:$N$9+BE$2*_xlpm.n))</f>
        <v>0</v>
      </c>
      <c r="BF24" s="29" cm="1">
        <f t="array" ref="BF24">$E$5*SUMPRODUCT(IF($E$8:$N$8,$E$32,$E$33),$E$6:$N$6,$E$9:$N$9)</f>
        <v>0</v>
      </c>
      <c r="BG24" s="29" cm="1">
        <f t="array" ref="BG24">_xlfn.LET(_xlpm.n,IF($AX$5="✔",$AZ$5,0),BG$3*SUMPRODUCT(IF($E$8:$N$8,BG$7,$E$33),$E$6:$N$6,$E$9:$N$9+BG$2*_xlpm.n))</f>
        <v>0</v>
      </c>
      <c r="BH24" s="29" cm="1">
        <f t="array" ref="BH24">_xlfn.LET(_xlpm.n,IF($AX$5="✔",$AZ$5,0),BH$3*SUMPRODUCT(IF($E$8:$N$8,BH$7,$E$33),$E$6:$N$6,$E$9:$N$9+BH$2*_xlpm.n))</f>
        <v>0</v>
      </c>
      <c r="BI24" s="29" cm="1">
        <f t="array" ref="BI24">_xlfn.LET(_xlpm.n,IF($AX$5="✔",$AZ$5,0),BI$3*SUMPRODUCT(IF($E$8:$N$8,BI$7,$E$33),$E$6:$N$6,$E$9:$N$9+BI$2*_xlpm.n))</f>
        <v>0</v>
      </c>
      <c r="BJ24" s="29" cm="1">
        <f t="array" ref="BJ24">_xlfn.LET(_xlpm.n,IF($AX$5="✔",$AZ$5,0),BJ$3*SUMPRODUCT(IF($E$8:$N$8,BJ$7,$E$33),$E$6:$N$6,$E$9:$N$9+BJ$2*_xlpm.n))</f>
        <v>0</v>
      </c>
      <c r="BK24" s="29" cm="1">
        <f t="array" ref="BK24">_xlfn.LET(_xlpm.n,IF($AX$5="✔",$AZ$5,0),BK$3*SUMPRODUCT(IF($E$8:$N$8,BK$7,$E$33),$E$6:$N$6,$E$9:$N$9+BK$2*_xlpm.n))</f>
        <v>0</v>
      </c>
    </row>
    <row r="25" ht="16.5" spans="1:63">
      <c r="A25" s="15"/>
      <c r="B25" s="16" t="s">
        <v>119</v>
      </c>
      <c r="C25" s="17" t="s">
        <v>120</v>
      </c>
      <c r="D25" s="17"/>
      <c r="E25" s="95"/>
      <c r="F25" s="98"/>
      <c r="G25" s="98"/>
      <c r="H25" s="98"/>
      <c r="I25" s="98"/>
      <c r="J25" s="98"/>
      <c r="K25" s="98"/>
      <c r="L25" s="98"/>
      <c r="M25" s="98"/>
      <c r="N25" s="98"/>
      <c r="Q25" s="90" t="s">
        <v>29</v>
      </c>
      <c r="R25" s="20">
        <f>$E$4*$L$7*$L$8*$L$9</f>
        <v>0</v>
      </c>
      <c r="S25" s="51" t="e">
        <f>SUM($Z$41:$Z$49)</f>
        <v>#DIV/0!</v>
      </c>
      <c r="T25" s="51" t="e">
        <f>SUM($Z$50:$Z$55)</f>
        <v>#DIV/0!</v>
      </c>
      <c r="U25" s="51" t="e">
        <f>SUM($Z$56:$Z$57)</f>
        <v>#DIV/0!</v>
      </c>
      <c r="V25" s="29" t="e">
        <f>MAX(0,Z58-Z59)</f>
        <v>#DIV/0!</v>
      </c>
      <c r="W25" s="51" t="e">
        <f t="shared" si="35"/>
        <v>#DIV/0!</v>
      </c>
      <c r="AE25" s="33"/>
      <c r="AF25" s="33"/>
      <c r="AG25" s="48" t="s">
        <v>121</v>
      </c>
      <c r="AH25" s="48"/>
      <c r="AI25" s="58">
        <f>-AI4+AI24</f>
        <v>0</v>
      </c>
      <c r="AJ25" s="58">
        <f t="shared" ref="AJ25:AU25" si="43">AJ3-SUM(AJ5:AJ21)-AJ24</f>
        <v>0</v>
      </c>
      <c r="AK25" s="58">
        <f t="shared" si="43"/>
        <v>0</v>
      </c>
      <c r="AL25" s="58">
        <f t="shared" si="43"/>
        <v>0</v>
      </c>
      <c r="AM25" s="58">
        <f t="shared" si="43"/>
        <v>0</v>
      </c>
      <c r="AN25" s="58">
        <f t="shared" si="43"/>
        <v>0</v>
      </c>
      <c r="AO25" s="58">
        <f t="shared" si="43"/>
        <v>0</v>
      </c>
      <c r="AP25" s="58">
        <f t="shared" si="43"/>
        <v>0</v>
      </c>
      <c r="AQ25" s="58">
        <f t="shared" si="43"/>
        <v>0</v>
      </c>
      <c r="AR25" s="58">
        <f t="shared" si="43"/>
        <v>0</v>
      </c>
      <c r="AS25" s="58">
        <f t="shared" si="43"/>
        <v>0</v>
      </c>
      <c r="AT25" s="58">
        <f t="shared" si="43"/>
        <v>0</v>
      </c>
      <c r="AU25" s="58">
        <f t="shared" si="43"/>
        <v>0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0</v>
      </c>
      <c r="BB25" s="24" cm="1">
        <f t="array" ref="BB25">_xlfn.LET(_xlpm.n,IF($AX$5="✔",$AZ$5,0),SUMPRODUCT($E$6:$N$6,$E$9:$N$9+BB$2*_xlpm.n)/$E$29*$E$30*$E$31)</f>
        <v>0</v>
      </c>
      <c r="BC25" s="24" cm="1">
        <f t="array" ref="BC25">_xlfn.LET(_xlpm.n,IF($AX$5="✔",$AZ$5,0),SUMPRODUCT($E$6:$N$6,$E$9:$N$9+BC$2*_xlpm.n)/$E$29*$E$30*$E$31)</f>
        <v>0</v>
      </c>
      <c r="BD25" s="24" cm="1">
        <f t="array" ref="BD25">_xlfn.LET(_xlpm.n,IF($AX$5="✔",$AZ$5,0),SUMPRODUCT($E$6:$N$6,$E$9:$N$9+BD$2*_xlpm.n)/$E$29*$E$30*$E$31)</f>
        <v>0</v>
      </c>
      <c r="BE25" s="24" cm="1">
        <f t="array" ref="BE25">_xlfn.LET(_xlpm.n,IF($AX$5="✔",$AZ$5,0),SUMPRODUCT($E$6:$N$6,$E$9:$N$9+BE$2*_xlpm.n)/$E$29*$E$30*$E$31)</f>
        <v>0</v>
      </c>
      <c r="BF25" s="24" cm="1">
        <f t="array" ref="BF25">SUMPRODUCT($E$6:$N$6,$E$9:$N$9)/$E$29*$E$30*$E$31</f>
        <v>0</v>
      </c>
      <c r="BG25" s="24" cm="1">
        <f t="array" ref="BG25">_xlfn.LET(_xlpm.n,IF($AX$5="✔",$AZ$5,0),SUMPRODUCT($E$6:$N$6,$E$9:$N$9+BG$2*_xlpm.n)/$E$29*$E$30*$E$31)</f>
        <v>0</v>
      </c>
      <c r="BH25" s="24" cm="1">
        <f t="array" ref="BH25">_xlfn.LET(_xlpm.n,IF($AX$5="✔",$AZ$5,0),SUMPRODUCT($E$6:$N$6,$E$9:$N$9+BH$2*_xlpm.n)/$E$29*$E$30*$E$31)</f>
        <v>0</v>
      </c>
      <c r="BI25" s="24" cm="1">
        <f t="array" ref="BI25">_xlfn.LET(_xlpm.n,IF($AX$5="✔",$AZ$5,0),SUMPRODUCT($E$6:$N$6,$E$9:$N$9+BI$2*_xlpm.n)/$E$29*$E$30*$E$31)</f>
        <v>0</v>
      </c>
      <c r="BJ25" s="24" cm="1">
        <f t="array" ref="BJ25">_xlfn.LET(_xlpm.n,IF($AX$5="✔",$AZ$5,0),SUMPRODUCT($E$6:$N$6,$E$9:$N$9+BJ$2*_xlpm.n)/$E$29*$E$30*$E$31)</f>
        <v>0</v>
      </c>
      <c r="BK25" s="24" cm="1">
        <f t="array" ref="BK25">_xlfn.LET(_xlpm.n,IF($AX$5="✔",$AZ$5,0),SUMPRODUCT($E$6:$N$6,$E$9:$N$9+BK$2*_xlpm.n)/$E$29*$E$30*$E$31)</f>
        <v>0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89"/>
      <c r="F26" s="89"/>
      <c r="G26" s="89"/>
      <c r="H26" s="89"/>
      <c r="I26" s="89"/>
      <c r="J26" s="89"/>
      <c r="K26" s="89"/>
      <c r="L26" s="89"/>
      <c r="M26" s="89"/>
      <c r="N26" s="89"/>
      <c r="Q26" s="90" t="s">
        <v>30</v>
      </c>
      <c r="R26" s="20">
        <f>$E$4*$M$7*$M$8*$M$9</f>
        <v>0</v>
      </c>
      <c r="S26" s="51" t="e">
        <f>SUM($Z$41:$Z$49)</f>
        <v>#DIV/0!</v>
      </c>
      <c r="T26" s="51" t="e">
        <f>SUM($AA$50:$AA$55)</f>
        <v>#DIV/0!</v>
      </c>
      <c r="U26" s="51" t="e">
        <f>SUM($AA$56:$AA$57)</f>
        <v>#DIV/0!</v>
      </c>
      <c r="V26" s="29" t="e">
        <f>MAX(0,AA58-AA59)</f>
        <v>#DIV/0!</v>
      </c>
      <c r="W26" s="51" t="e">
        <f t="shared" si="35"/>
        <v>#DIV/0!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0</v>
      </c>
      <c r="AK26" s="58">
        <f>SUM($AI$25:AK25)</f>
        <v>0</v>
      </c>
      <c r="AL26" s="58">
        <f>SUM($AI$25:AL25)</f>
        <v>0</v>
      </c>
      <c r="AM26" s="58">
        <f>SUM($AI$25:AM25)</f>
        <v>0</v>
      </c>
      <c r="AN26" s="58">
        <f>SUM($AI$25:AN25)</f>
        <v>0</v>
      </c>
      <c r="AO26" s="58">
        <f>SUM($AI$25:AO25)</f>
        <v>0</v>
      </c>
      <c r="AP26" s="58">
        <f>SUM($AI$25:AP25)</f>
        <v>0</v>
      </c>
      <c r="AQ26" s="58">
        <f>SUM($AI$25:AQ25)</f>
        <v>0</v>
      </c>
      <c r="AR26" s="58">
        <f>SUM($AI$25:AR25)</f>
        <v>0</v>
      </c>
      <c r="AS26" s="58">
        <f>SUM($AI$25:AS25)</f>
        <v>0</v>
      </c>
      <c r="AT26" s="58">
        <f>SUM($AI$25:AT25)</f>
        <v>0</v>
      </c>
      <c r="AU26" s="58">
        <f>SUM($AI$25:AU25)</f>
        <v>0</v>
      </c>
      <c r="AX26" s="28" t="s">
        <v>16</v>
      </c>
      <c r="AY26" s="28"/>
      <c r="AZ26" s="35" t="s">
        <v>106</v>
      </c>
      <c r="BA26" s="29">
        <f t="shared" ref="BA26:BK26" si="44">BA9*$E$34/12*$E$26</f>
        <v>0</v>
      </c>
      <c r="BB26" s="29">
        <f t="shared" si="44"/>
        <v>0</v>
      </c>
      <c r="BC26" s="29">
        <f t="shared" si="44"/>
        <v>0</v>
      </c>
      <c r="BD26" s="29">
        <f t="shared" si="44"/>
        <v>0</v>
      </c>
      <c r="BE26" s="29">
        <f t="shared" si="44"/>
        <v>0</v>
      </c>
      <c r="BF26" s="29">
        <f t="shared" si="44"/>
        <v>0</v>
      </c>
      <c r="BG26" s="29">
        <f t="shared" si="44"/>
        <v>0</v>
      </c>
      <c r="BH26" s="29">
        <f t="shared" si="44"/>
        <v>0</v>
      </c>
      <c r="BI26" s="29">
        <f t="shared" si="44"/>
        <v>0</v>
      </c>
      <c r="BJ26" s="29">
        <f t="shared" si="44"/>
        <v>0</v>
      </c>
      <c r="BK26" s="29">
        <f t="shared" si="44"/>
        <v>0</v>
      </c>
    </row>
    <row r="27" spans="1:63">
      <c r="A27" s="15"/>
      <c r="B27" s="16" t="s">
        <v>125</v>
      </c>
      <c r="C27" s="17" t="s">
        <v>126</v>
      </c>
      <c r="D27" s="17"/>
      <c r="E27" s="89">
        <v>1</v>
      </c>
      <c r="F27" s="89"/>
      <c r="G27" s="89"/>
      <c r="H27" s="89"/>
      <c r="I27" s="89"/>
      <c r="J27" s="89"/>
      <c r="K27" s="89"/>
      <c r="L27" s="89"/>
      <c r="M27" s="89"/>
      <c r="N27" s="89"/>
      <c r="Q27" s="90" t="s">
        <v>31</v>
      </c>
      <c r="R27" s="20">
        <f>$E$4*$N$7*$N$8*$N$9</f>
        <v>0</v>
      </c>
      <c r="S27" s="51" t="e">
        <f>SUM($AB$41:$AB$49)</f>
        <v>#DIV/0!</v>
      </c>
      <c r="T27" s="51" t="e">
        <f>SUM($AB$50:$AB$55)</f>
        <v>#DIV/0!</v>
      </c>
      <c r="U27" s="51" t="e">
        <f>SUM($AB$56:$AB$57)</f>
        <v>#DIV/0!</v>
      </c>
      <c r="V27" s="29" t="e">
        <f>MAX(0,AB58-AB59)</f>
        <v>#DIV/0!</v>
      </c>
      <c r="W27" s="51" t="e">
        <f t="shared" si="35"/>
        <v>#DIV/0!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 t="e">
        <f t="shared" ref="BA27:BE27" si="45">(BA$6*12/$E$10+SUM(BA12:BA25))*$E$35/12*$E$27</f>
        <v>#DIV/0!</v>
      </c>
      <c r="BB27" s="29" t="e">
        <f t="shared" si="45"/>
        <v>#DIV/0!</v>
      </c>
      <c r="BC27" s="29" t="e">
        <f t="shared" si="45"/>
        <v>#DIV/0!</v>
      </c>
      <c r="BD27" s="29" t="e">
        <f t="shared" si="45"/>
        <v>#DIV/0!</v>
      </c>
      <c r="BE27" s="29" t="e">
        <f t="shared" si="45"/>
        <v>#DIV/0!</v>
      </c>
      <c r="BF27" s="29" t="e">
        <f>($E$13*12/$E$10+SUM(BF12:BF25))*$E$35/12*$E$27</f>
        <v>#DIV/0!</v>
      </c>
      <c r="BG27" s="29" t="e">
        <f t="shared" ref="BG27:BK27" si="46">(BG$6*12/$E$10+SUM(BG12:BG25))*$E$35/12*$E$27</f>
        <v>#DIV/0!</v>
      </c>
      <c r="BH27" s="29" t="e">
        <f t="shared" si="46"/>
        <v>#DIV/0!</v>
      </c>
      <c r="BI27" s="29" t="e">
        <f t="shared" si="46"/>
        <v>#DIV/0!</v>
      </c>
      <c r="BJ27" s="29" t="e">
        <f t="shared" si="46"/>
        <v>#DIV/0!</v>
      </c>
      <c r="BK27" s="29" t="e">
        <f t="shared" si="46"/>
        <v>#DIV/0!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99">
        <v>60</v>
      </c>
      <c r="F28" s="99"/>
      <c r="G28" s="99"/>
      <c r="H28" s="99"/>
      <c r="I28" s="99"/>
      <c r="J28" s="99"/>
      <c r="K28" s="99"/>
      <c r="L28" s="99"/>
      <c r="M28" s="99"/>
      <c r="N28" s="99"/>
      <c r="Q28" s="48" t="s">
        <v>84</v>
      </c>
      <c r="R28" s="49">
        <f t="shared" ref="R28:V28" si="47">SUM(R18:R27)</f>
        <v>0</v>
      </c>
      <c r="S28" s="49" t="e">
        <f t="shared" si="47"/>
        <v>#DIV/0!</v>
      </c>
      <c r="T28" s="49" t="e">
        <f t="shared" si="47"/>
        <v>#DIV/0!</v>
      </c>
      <c r="U28" s="49" t="e">
        <f t="shared" si="47"/>
        <v>#DIV/0!</v>
      </c>
      <c r="V28" s="49" t="e">
        <f t="shared" si="47"/>
        <v>#DIV/0!</v>
      </c>
      <c r="W28" s="49" t="e">
        <f t="shared" si="35"/>
        <v>#DIV/0!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K28" si="48">BA9*0.09/1.09</f>
        <v>0</v>
      </c>
      <c r="BB28" s="55">
        <f t="shared" si="48"/>
        <v>0</v>
      </c>
      <c r="BC28" s="55">
        <f t="shared" si="48"/>
        <v>0</v>
      </c>
      <c r="BD28" s="55">
        <f t="shared" si="48"/>
        <v>0</v>
      </c>
      <c r="BE28" s="55">
        <f t="shared" si="48"/>
        <v>0</v>
      </c>
      <c r="BF28" s="55">
        <f t="shared" si="48"/>
        <v>0</v>
      </c>
      <c r="BG28" s="55">
        <f t="shared" si="48"/>
        <v>0</v>
      </c>
      <c r="BH28" s="55">
        <f t="shared" si="48"/>
        <v>0</v>
      </c>
      <c r="BI28" s="55">
        <f t="shared" si="48"/>
        <v>0</v>
      </c>
      <c r="BJ28" s="55">
        <f t="shared" si="48"/>
        <v>0</v>
      </c>
      <c r="BK28" s="55">
        <f t="shared" si="48"/>
        <v>0</v>
      </c>
    </row>
    <row r="29" spans="1:63">
      <c r="A29" s="60"/>
      <c r="B29" s="61" t="s">
        <v>131</v>
      </c>
      <c r="C29" s="62" t="s">
        <v>132</v>
      </c>
      <c r="D29" s="62"/>
      <c r="E29" s="99">
        <v>80000</v>
      </c>
      <c r="F29" s="99"/>
      <c r="G29" s="99"/>
      <c r="H29" s="99"/>
      <c r="I29" s="99"/>
      <c r="J29" s="99"/>
      <c r="K29" s="99"/>
      <c r="L29" s="99"/>
      <c r="M29" s="99"/>
      <c r="N29" s="99"/>
      <c r="Q29" s="1" t="s">
        <v>133</v>
      </c>
      <c r="R29" s="1"/>
      <c r="AX29" s="28"/>
      <c r="AY29" s="28"/>
      <c r="AZ29" s="66" t="s">
        <v>115</v>
      </c>
      <c r="BA29" s="57" t="e">
        <f t="shared" ref="BA29:BK29" si="49">(BA11+BA24+BA25)*0.13/1.13+BA16*0.06/1.06</f>
        <v>#DIV/0!</v>
      </c>
      <c r="BB29" s="57" t="e">
        <f t="shared" si="49"/>
        <v>#DIV/0!</v>
      </c>
      <c r="BC29" s="57" t="e">
        <f t="shared" si="49"/>
        <v>#DIV/0!</v>
      </c>
      <c r="BD29" s="57" t="e">
        <f t="shared" si="49"/>
        <v>#DIV/0!</v>
      </c>
      <c r="BE29" s="57" t="e">
        <f t="shared" si="49"/>
        <v>#DIV/0!</v>
      </c>
      <c r="BF29" s="57" t="e">
        <f t="shared" si="49"/>
        <v>#DIV/0!</v>
      </c>
      <c r="BG29" s="57" t="e">
        <f t="shared" si="49"/>
        <v>#DIV/0!</v>
      </c>
      <c r="BH29" s="57" t="e">
        <f t="shared" si="49"/>
        <v>#DIV/0!</v>
      </c>
      <c r="BI29" s="57" t="e">
        <f t="shared" si="49"/>
        <v>#DIV/0!</v>
      </c>
      <c r="BJ29" s="57" t="e">
        <f t="shared" si="49"/>
        <v>#DIV/0!</v>
      </c>
      <c r="BK29" s="57" t="e">
        <f t="shared" si="49"/>
        <v>#DIV/0!</v>
      </c>
    </row>
    <row r="30" spans="1:63">
      <c r="A30" s="60"/>
      <c r="B30" s="61" t="s">
        <v>134</v>
      </c>
      <c r="C30" s="62" t="s">
        <v>135</v>
      </c>
      <c r="D30" s="62"/>
      <c r="E30" s="99">
        <v>22</v>
      </c>
      <c r="F30" s="99"/>
      <c r="G30" s="99"/>
      <c r="H30" s="99"/>
      <c r="I30" s="99"/>
      <c r="J30" s="99"/>
      <c r="K30" s="99"/>
      <c r="L30" s="99"/>
      <c r="M30" s="99"/>
      <c r="N30" s="99"/>
      <c r="AE30" s="67"/>
      <c r="AF30" s="67"/>
      <c r="AX30" s="22"/>
      <c r="AY30" s="22"/>
      <c r="AZ30" s="23" t="s">
        <v>118</v>
      </c>
      <c r="BA30" s="24" t="e">
        <f t="shared" ref="BA30:BK30" si="50">MAX(0,BA28-BA29)</f>
        <v>#DIV/0!</v>
      </c>
      <c r="BB30" s="24" t="e">
        <f t="shared" si="50"/>
        <v>#DIV/0!</v>
      </c>
      <c r="BC30" s="24" t="e">
        <f t="shared" si="50"/>
        <v>#DIV/0!</v>
      </c>
      <c r="BD30" s="24" t="e">
        <f t="shared" si="50"/>
        <v>#DIV/0!</v>
      </c>
      <c r="BE30" s="24" t="e">
        <f t="shared" si="50"/>
        <v>#DIV/0!</v>
      </c>
      <c r="BF30" s="24" t="e">
        <f t="shared" si="50"/>
        <v>#DIV/0!</v>
      </c>
      <c r="BG30" s="24" t="e">
        <f t="shared" si="50"/>
        <v>#DIV/0!</v>
      </c>
      <c r="BH30" s="24" t="e">
        <f t="shared" si="50"/>
        <v>#DIV/0!</v>
      </c>
      <c r="BI30" s="24" t="e">
        <f t="shared" si="50"/>
        <v>#DIV/0!</v>
      </c>
      <c r="BJ30" s="24" t="e">
        <f t="shared" si="50"/>
        <v>#DIV/0!</v>
      </c>
      <c r="BK30" s="24" t="e">
        <f t="shared" si="50"/>
        <v>#DIV/0!</v>
      </c>
    </row>
    <row r="31" ht="16.5" spans="1:63">
      <c r="A31" s="60"/>
      <c r="B31" s="61" t="s">
        <v>136</v>
      </c>
      <c r="C31" s="62" t="s">
        <v>137</v>
      </c>
      <c r="D31" s="62"/>
      <c r="E31" s="99">
        <v>1100</v>
      </c>
      <c r="F31" s="99"/>
      <c r="G31" s="99"/>
      <c r="H31" s="99"/>
      <c r="I31" s="99"/>
      <c r="J31" s="99"/>
      <c r="K31" s="99"/>
      <c r="L31" s="99"/>
      <c r="M31" s="99"/>
      <c r="N31" s="99"/>
      <c r="AE31" s="29"/>
      <c r="AF31" s="29"/>
      <c r="AX31" s="44" t="s">
        <v>138</v>
      </c>
      <c r="AY31" s="44"/>
      <c r="AZ31" s="44"/>
      <c r="BA31" s="45" t="e">
        <f t="shared" ref="BA31:BK31" si="51">SUM(BA11:BA27)+MAX(0,BA28-BA29)</f>
        <v>#DIV/0!</v>
      </c>
      <c r="BB31" s="45" t="e">
        <f t="shared" si="51"/>
        <v>#DIV/0!</v>
      </c>
      <c r="BC31" s="45" t="e">
        <f t="shared" si="51"/>
        <v>#DIV/0!</v>
      </c>
      <c r="BD31" s="45" t="e">
        <f t="shared" si="51"/>
        <v>#DIV/0!</v>
      </c>
      <c r="BE31" s="45" t="e">
        <f t="shared" si="51"/>
        <v>#DIV/0!</v>
      </c>
      <c r="BF31" s="45" t="e">
        <f t="shared" si="51"/>
        <v>#DIV/0!</v>
      </c>
      <c r="BG31" s="45" t="e">
        <f t="shared" si="51"/>
        <v>#DIV/0!</v>
      </c>
      <c r="BH31" s="45" t="e">
        <f t="shared" si="51"/>
        <v>#DIV/0!</v>
      </c>
      <c r="BI31" s="45" t="e">
        <f t="shared" si="51"/>
        <v>#DIV/0!</v>
      </c>
      <c r="BJ31" s="45" t="e">
        <f t="shared" si="51"/>
        <v>#DIV/0!</v>
      </c>
      <c r="BK31" s="45" t="e">
        <f t="shared" si="51"/>
        <v>#DIV/0!</v>
      </c>
    </row>
    <row r="32" ht="16.5" spans="1:63">
      <c r="A32" s="60"/>
      <c r="B32" s="61" t="s">
        <v>65</v>
      </c>
      <c r="C32" s="62" t="s">
        <v>139</v>
      </c>
      <c r="D32" s="62"/>
      <c r="E32" s="99">
        <v>1.6</v>
      </c>
      <c r="F32" s="99"/>
      <c r="G32" s="99"/>
      <c r="H32" s="99"/>
      <c r="I32" s="99"/>
      <c r="J32" s="99"/>
      <c r="K32" s="99"/>
      <c r="L32" s="99"/>
      <c r="M32" s="99"/>
      <c r="N32" s="99"/>
      <c r="Q32" s="28"/>
      <c r="AE32" s="29"/>
      <c r="AF32" s="29"/>
      <c r="AX32" s="68" t="s">
        <v>140</v>
      </c>
      <c r="AY32" s="69"/>
      <c r="AZ32" s="69"/>
      <c r="BA32" s="70" t="e">
        <f t="shared" ref="BA32:BK32" si="52">BA9-BA31</f>
        <v>#DIV/0!</v>
      </c>
      <c r="BB32" s="70" t="e">
        <f t="shared" si="52"/>
        <v>#DIV/0!</v>
      </c>
      <c r="BC32" s="70" t="e">
        <f t="shared" si="52"/>
        <v>#DIV/0!</v>
      </c>
      <c r="BD32" s="70" t="e">
        <f t="shared" si="52"/>
        <v>#DIV/0!</v>
      </c>
      <c r="BE32" s="70" t="e">
        <f t="shared" si="52"/>
        <v>#DIV/0!</v>
      </c>
      <c r="BF32" s="70" t="e">
        <f t="shared" si="52"/>
        <v>#DIV/0!</v>
      </c>
      <c r="BG32" s="70" t="e">
        <f t="shared" si="52"/>
        <v>#DIV/0!</v>
      </c>
      <c r="BH32" s="70" t="e">
        <f t="shared" si="52"/>
        <v>#DIV/0!</v>
      </c>
      <c r="BI32" s="70" t="e">
        <f t="shared" si="52"/>
        <v>#DIV/0!</v>
      </c>
      <c r="BJ32" s="70" t="e">
        <f t="shared" si="52"/>
        <v>#DIV/0!</v>
      </c>
      <c r="BK32" s="70" t="e">
        <f t="shared" si="52"/>
        <v>#DIV/0!</v>
      </c>
    </row>
    <row r="33" spans="1:63">
      <c r="A33" s="60"/>
      <c r="B33" s="61" t="s">
        <v>141</v>
      </c>
      <c r="C33" s="62" t="s">
        <v>142</v>
      </c>
      <c r="D33" s="62"/>
      <c r="E33" s="99">
        <v>1.1</v>
      </c>
      <c r="F33" s="99"/>
      <c r="G33" s="99"/>
      <c r="H33" s="99"/>
      <c r="I33" s="99"/>
      <c r="J33" s="99"/>
      <c r="K33" s="99"/>
      <c r="L33" s="99"/>
      <c r="M33" s="99"/>
      <c r="N33" s="99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100">
        <v>0.04</v>
      </c>
      <c r="F34" s="100"/>
      <c r="G34" s="100"/>
      <c r="H34" s="100"/>
      <c r="I34" s="100"/>
      <c r="J34" s="100"/>
      <c r="K34" s="100"/>
      <c r="L34" s="100"/>
      <c r="M34" s="100"/>
      <c r="N34" s="100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101">
        <v>0.07</v>
      </c>
      <c r="F35" s="101"/>
      <c r="G35" s="101"/>
      <c r="H35" s="101"/>
      <c r="I35" s="101"/>
      <c r="J35" s="101"/>
      <c r="K35" s="101"/>
      <c r="L35" s="101"/>
      <c r="M35" s="101"/>
      <c r="N35" s="101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8" t="s">
        <v>20</v>
      </c>
      <c r="T38" s="88" t="s">
        <v>22</v>
      </c>
      <c r="U38" s="88" t="s">
        <v>24</v>
      </c>
      <c r="V38" s="88" t="s">
        <v>25</v>
      </c>
      <c r="W38" s="88" t="s">
        <v>26</v>
      </c>
      <c r="X38" s="88" t="s">
        <v>27</v>
      </c>
      <c r="Y38" s="88" t="s">
        <v>28</v>
      </c>
      <c r="Z38" s="88" t="s">
        <v>29</v>
      </c>
      <c r="AA38" s="88" t="s">
        <v>30</v>
      </c>
      <c r="AB38" s="8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53">$E$4*E$7*E$8*E$9</f>
        <v>0</v>
      </c>
      <c r="T39" s="20">
        <f t="shared" si="53"/>
        <v>0</v>
      </c>
      <c r="U39" s="20">
        <f t="shared" si="53"/>
        <v>0</v>
      </c>
      <c r="V39" s="20">
        <f t="shared" si="53"/>
        <v>0</v>
      </c>
      <c r="W39" s="20">
        <f t="shared" si="53"/>
        <v>0</v>
      </c>
      <c r="X39" s="20">
        <f t="shared" si="53"/>
        <v>0</v>
      </c>
      <c r="Y39" s="20">
        <f t="shared" si="53"/>
        <v>0</v>
      </c>
      <c r="Z39" s="20">
        <f t="shared" si="53"/>
        <v>0</v>
      </c>
      <c r="AA39" s="20">
        <f t="shared" si="53"/>
        <v>0</v>
      </c>
      <c r="AB39" s="20">
        <f t="shared" si="53"/>
        <v>0</v>
      </c>
      <c r="AC39" s="29" cm="1">
        <f t="array" ref="AC39">$E$4*(SUMPRODUCT($E$7:$N$7,$E$8:$N$8,$E$9:$N$9))</f>
        <v>0</v>
      </c>
      <c r="AD39" s="27" t="e">
        <f>AC39/$AC$40</f>
        <v>#DIV/0!</v>
      </c>
      <c r="AE39" s="29"/>
      <c r="AF39" s="73"/>
      <c r="AG39" s="22" t="s">
        <v>13</v>
      </c>
      <c r="AH39" s="23" t="s">
        <v>49</v>
      </c>
      <c r="AI39" s="23"/>
      <c r="AJ39" s="24" t="str" cm="1">
        <f t="array" ref="AJ39">IF($E$3="纯租赁",IF(AJ38*12&lt;=$E$12,$E$4*SUMPRODUCT($E$7:$N$7,$E$8:$N$8,$E$9:$N$9)*$E$10,""),IF(AJ38*12&lt;=$E$28,$E$4*SUMPRODUCT($E$7:$N$7,$E$8:$N$8,$E$9:$N$9)*$E$10,""))</f>
        <v/>
      </c>
      <c r="AK39" s="24" t="str" cm="1">
        <f t="array" ref="AK39">IF($E$3="纯租赁",IF(AK38*12&lt;=$E$12,$E$4*SUMPRODUCT($E$7:$N$7,$E$8:$N$8,$E$9:$N$9)*$E$10,""),IF(AK38*12&lt;=$E$28,$E$4*SUMPRODUCT($E$7:$N$7,$E$8:$N$8,$E$9:$N$9)*$E$10,""))</f>
        <v/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54">S39</f>
        <v>0</v>
      </c>
      <c r="T40" s="76">
        <f t="shared" si="54"/>
        <v>0</v>
      </c>
      <c r="U40" s="76">
        <f t="shared" si="54"/>
        <v>0</v>
      </c>
      <c r="V40" s="76">
        <f t="shared" si="54"/>
        <v>0</v>
      </c>
      <c r="W40" s="76">
        <f t="shared" si="54"/>
        <v>0</v>
      </c>
      <c r="X40" s="76">
        <f t="shared" si="54"/>
        <v>0</v>
      </c>
      <c r="Y40" s="76">
        <f t="shared" si="54"/>
        <v>0</v>
      </c>
      <c r="Z40" s="76">
        <f t="shared" si="54"/>
        <v>0</v>
      </c>
      <c r="AA40" s="76">
        <f t="shared" si="54"/>
        <v>0</v>
      </c>
      <c r="AB40" s="76">
        <f t="shared" si="54"/>
        <v>0</v>
      </c>
      <c r="AC40" s="77">
        <f t="shared" si="54"/>
        <v>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t="e" cm="1">
        <f t="array" ref="S41">$AC41*E$6*E$9/(SUMPRODUCT($E$6:$N$6,$E$9:$N$9))</f>
        <v>#DIV/0!</v>
      </c>
      <c r="T41" s="29" t="e" cm="1">
        <f t="array" ref="T41">$AC41*F$6*F$9/(SUMPRODUCT($E$6:$N$6,$E$9:$N$9))</f>
        <v>#DIV/0!</v>
      </c>
      <c r="U41" s="29" t="e" cm="1">
        <f t="array" ref="U41">$AC41*G$6*G$9/(SUMPRODUCT($E$6:$N$6,$E$9:$N$9))</f>
        <v>#DIV/0!</v>
      </c>
      <c r="V41" s="29" t="e" cm="1">
        <f t="array" ref="V41">$AC41*H$6*H$9/(SUMPRODUCT($E$6:$N$6,$E$9:$N$9))</f>
        <v>#DIV/0!</v>
      </c>
      <c r="W41" s="29" t="e" cm="1">
        <f t="array" ref="W41">$AC41*I$6*I$9/(SUMPRODUCT($E$6:$N$6,$E$9:$N$9))</f>
        <v>#DIV/0!</v>
      </c>
      <c r="X41" s="29" t="e" cm="1">
        <f t="array" ref="X41">$AC41*J$6*J$9/(SUMPRODUCT($E$6:$N$6,$E$9:$N$9))</f>
        <v>#DIV/0!</v>
      </c>
      <c r="Y41" s="29" t="e" cm="1">
        <f t="array" ref="Y41">$AC41*K$6*K$9/(SUMPRODUCT($E$6:$N$6,$E$9:$N$9))</f>
        <v>#DIV/0!</v>
      </c>
      <c r="Z41" s="29" t="e" cm="1">
        <f t="array" ref="Z41">$AC41*L$6*L$9/(SUMPRODUCT($E$6:$N$6,$E$9:$N$9))</f>
        <v>#DIV/0!</v>
      </c>
      <c r="AA41" s="29" t="e" cm="1">
        <f t="array" ref="AA41">$AC41*M$6*M$9/(SUMPRODUCT($E$6:$N$6,$E$9:$N$9))</f>
        <v>#DIV/0!</v>
      </c>
      <c r="AB41" s="29" t="e" cm="1">
        <f t="array" ref="AB41">$AC41*N$6*N$9/(SUMPRODUCT($E$6:$N$6,$E$9:$N$9))</f>
        <v>#DIV/0!</v>
      </c>
      <c r="AC41" s="29" t="e">
        <f>IF($E$3="纯租赁",$E$4*$E$13*12/$E$10,$E$4*($E$11/$E$28+$E$13)*12/$E$10)</f>
        <v>#DIV/0!</v>
      </c>
      <c r="AD41" s="27" t="e">
        <f t="shared" ref="AD41:AD57" si="55">AC41/$AC$61</f>
        <v>#DIV/0!</v>
      </c>
      <c r="AE41" s="29"/>
      <c r="AF41" s="73"/>
      <c r="AG41" s="28"/>
      <c r="AH41" s="1" t="s">
        <v>57</v>
      </c>
      <c r="AI41" s="35"/>
      <c r="AJ41" s="29" t="str">
        <f t="shared" ref="AJ41:AU41" si="56">IF($E$3="纯租赁",IF(AJ38*12&lt;=$E$12,$E$4*$E$13*12,""),IF(AJ38*12&lt;=$E$12,$E$4*$E$13*12,IF(AJ38*12&lt;=$E$28,MOD($E$12,12)*$E$13*$E$4,"")))</f>
        <v/>
      </c>
      <c r="AK41" s="29" t="str">
        <f t="shared" si="56"/>
        <v/>
      </c>
      <c r="AL41" s="29" t="str">
        <f t="shared" si="56"/>
        <v/>
      </c>
      <c r="AM41" s="29" t="str">
        <f t="shared" si="56"/>
        <v/>
      </c>
      <c r="AN41" s="29" t="str">
        <f t="shared" si="56"/>
        <v/>
      </c>
      <c r="AO41" s="29" t="str">
        <f t="shared" si="56"/>
        <v/>
      </c>
      <c r="AP41" s="29" t="str">
        <f t="shared" si="56"/>
        <v/>
      </c>
      <c r="AQ41" s="29" t="str">
        <f t="shared" si="56"/>
        <v/>
      </c>
      <c r="AR41" s="29" t="str">
        <f t="shared" si="56"/>
        <v/>
      </c>
      <c r="AS41" s="29" t="str">
        <f t="shared" si="56"/>
        <v/>
      </c>
      <c r="AT41" s="29" t="str">
        <f t="shared" si="56"/>
        <v/>
      </c>
      <c r="AU41" s="29" t="str">
        <f t="shared" si="56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t="e" cm="1">
        <f t="array" ref="S42">$AC42*E$6*E$9/(SUMPRODUCT($E$6:$N$6,$E$9:$N$9))</f>
        <v>#DIV/0!</v>
      </c>
      <c r="T42" s="29" t="e" cm="1">
        <f t="array" ref="T42">$AC42*F$6*F$9/(SUMPRODUCT($E$6:$N$6,$E$9:$N$9))</f>
        <v>#DIV/0!</v>
      </c>
      <c r="U42" s="29" t="e" cm="1">
        <f t="array" ref="U42">$AC42*G$6*G$9/(SUMPRODUCT($E$6:$N$6,$E$9:$N$9))</f>
        <v>#DIV/0!</v>
      </c>
      <c r="V42" s="29" t="e" cm="1">
        <f t="array" ref="V42">$AC42*H$6*H$9/(SUMPRODUCT($E$6:$N$6,$E$9:$N$9))</f>
        <v>#DIV/0!</v>
      </c>
      <c r="W42" s="29" t="e" cm="1">
        <f t="array" ref="W42">$AC42*I$6*I$9/(SUMPRODUCT($E$6:$N$6,$E$9:$N$9))</f>
        <v>#DIV/0!</v>
      </c>
      <c r="X42" s="29" t="e" cm="1">
        <f t="array" ref="X42">$AC42*J$6*J$9/(SUMPRODUCT($E$6:$N$6,$E$9:$N$9))</f>
        <v>#DIV/0!</v>
      </c>
      <c r="Y42" s="29" t="e" cm="1">
        <f t="array" ref="Y42">$AC42*K$6*K$9/(SUMPRODUCT($E$6:$N$6,$E$9:$N$9))</f>
        <v>#DIV/0!</v>
      </c>
      <c r="Z42" s="29" t="e" cm="1">
        <f t="array" ref="Z42">$AC42*L$6*L$9/(SUMPRODUCT($E$6:$N$6,$E$9:$N$9))</f>
        <v>#DIV/0!</v>
      </c>
      <c r="AA42" s="29" t="e" cm="1">
        <f t="array" ref="AA42">$AC42*M$6*M$9/(SUMPRODUCT($E$6:$N$6,$E$9:$N$9))</f>
        <v>#DIV/0!</v>
      </c>
      <c r="AB42" s="29" t="e" cm="1">
        <f t="array" ref="AB42">$AC42*N$6*N$9/(SUMPRODUCT($E$6:$N$6,$E$9:$N$9))</f>
        <v>#DIV/0!</v>
      </c>
      <c r="AC42" s="29" t="e">
        <f>$E$14*$E$4*12/$E$10</f>
        <v>#DIV/0!</v>
      </c>
      <c r="AD42" s="27" t="e">
        <f t="shared" si="55"/>
        <v>#DIV/0!</v>
      </c>
      <c r="AE42" s="29"/>
      <c r="AF42" s="73"/>
      <c r="AG42" s="28"/>
      <c r="AH42" s="1" t="s">
        <v>61</v>
      </c>
      <c r="AI42" s="35"/>
      <c r="AJ42" s="29" t="str">
        <f t="shared" ref="AJ42:AU42" si="57">IF($E$3="纯租赁",IF(AJ38*12&lt;=$E$12,$E$14*$E$4*12,""),IF(AJ38*12&lt;=$E$28,$E$14*$E$4*12,""))</f>
        <v/>
      </c>
      <c r="AK42" s="29" t="str">
        <f t="shared" si="57"/>
        <v/>
      </c>
      <c r="AL42" s="29" t="str">
        <f t="shared" si="57"/>
        <v/>
      </c>
      <c r="AM42" s="29" t="str">
        <f t="shared" si="57"/>
        <v/>
      </c>
      <c r="AN42" s="29" t="str">
        <f t="shared" si="57"/>
        <v/>
      </c>
      <c r="AO42" s="29" t="str">
        <f t="shared" si="57"/>
        <v/>
      </c>
      <c r="AP42" s="29" t="str">
        <f t="shared" si="57"/>
        <v/>
      </c>
      <c r="AQ42" s="29" t="str">
        <f t="shared" si="57"/>
        <v/>
      </c>
      <c r="AR42" s="29" t="str">
        <f t="shared" si="57"/>
        <v/>
      </c>
      <c r="AS42" s="29" t="str">
        <f t="shared" si="57"/>
        <v/>
      </c>
      <c r="AT42" s="29" t="str">
        <f t="shared" si="57"/>
        <v/>
      </c>
      <c r="AU42" s="29" t="str">
        <f t="shared" si="57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t="e" cm="1">
        <f t="array" ref="S43">$AC43*E$6*E$9/(SUMPRODUCT($E$6:$N$6,$E$9:$N$9))</f>
        <v>#DIV/0!</v>
      </c>
      <c r="T43" s="29" t="e" cm="1">
        <f t="array" ref="T43">$AC43*F$6*F$9/(SUMPRODUCT($E$6:$N$6,$E$9:$N$9))</f>
        <v>#DIV/0!</v>
      </c>
      <c r="U43" s="29" t="e" cm="1">
        <f t="array" ref="U43">$AC43*G$6*G$9/(SUMPRODUCT($E$6:$N$6,$E$9:$N$9))</f>
        <v>#DIV/0!</v>
      </c>
      <c r="V43" s="29" t="e" cm="1">
        <f t="array" ref="V43">$AC43*H$6*H$9/(SUMPRODUCT($E$6:$N$6,$E$9:$N$9))</f>
        <v>#DIV/0!</v>
      </c>
      <c r="W43" s="29" t="e" cm="1">
        <f t="array" ref="W43">$AC43*I$6*I$9/(SUMPRODUCT($E$6:$N$6,$E$9:$N$9))</f>
        <v>#DIV/0!</v>
      </c>
      <c r="X43" s="29" t="e" cm="1">
        <f t="array" ref="X43">$AC43*J$6*J$9/(SUMPRODUCT($E$6:$N$6,$E$9:$N$9))</f>
        <v>#DIV/0!</v>
      </c>
      <c r="Y43" s="29" t="e" cm="1">
        <f t="array" ref="Y43">$AC43*K$6*K$9/(SUMPRODUCT($E$6:$N$6,$E$9:$N$9))</f>
        <v>#DIV/0!</v>
      </c>
      <c r="Z43" s="29" t="e" cm="1">
        <f t="array" ref="Z43">$AC43*L$6*L$9/(SUMPRODUCT($E$6:$N$6,$E$9:$N$9))</f>
        <v>#DIV/0!</v>
      </c>
      <c r="AA43" s="29" t="e" cm="1">
        <f t="array" ref="AA43">$AC43*M$6*M$9/(SUMPRODUCT($E$6:$N$6,$E$9:$N$9))</f>
        <v>#DIV/0!</v>
      </c>
      <c r="AB43" s="29" t="e" cm="1">
        <f t="array" ref="AB43">$AC43*N$6*N$9/(SUMPRODUCT($E$6:$N$6,$E$9:$N$9))</f>
        <v>#DIV/0!</v>
      </c>
      <c r="AC43" s="29" t="e">
        <f>$E$4*$E$15*12/$E$10</f>
        <v>#DIV/0!</v>
      </c>
      <c r="AD43" s="27" t="e">
        <f t="shared" si="55"/>
        <v>#DIV/0!</v>
      </c>
      <c r="AE43" s="29"/>
      <c r="AF43" s="73"/>
      <c r="AG43" s="28"/>
      <c r="AH43" s="1" t="s">
        <v>64</v>
      </c>
      <c r="AI43" s="35"/>
      <c r="AJ43" s="29" t="str">
        <f t="shared" ref="AJ43:AU43" si="58">IF($E$3="纯租赁",IF(AJ38*12&lt;=$E$12,$E$4*$E$15*12,""),IF(AJ38*12&lt;=$E$28,$E$4*$E$15*12,""))</f>
        <v/>
      </c>
      <c r="AK43" s="29" t="str">
        <f t="shared" si="58"/>
        <v/>
      </c>
      <c r="AL43" s="29" t="str">
        <f t="shared" si="58"/>
        <v/>
      </c>
      <c r="AM43" s="29" t="str">
        <f t="shared" si="58"/>
        <v/>
      </c>
      <c r="AN43" s="29" t="str">
        <f t="shared" si="58"/>
        <v/>
      </c>
      <c r="AO43" s="29" t="str">
        <f t="shared" si="58"/>
        <v/>
      </c>
      <c r="AP43" s="29" t="str">
        <f t="shared" si="58"/>
        <v/>
      </c>
      <c r="AQ43" s="29" t="str">
        <f t="shared" si="58"/>
        <v/>
      </c>
      <c r="AR43" s="29" t="str">
        <f t="shared" si="58"/>
        <v/>
      </c>
      <c r="AS43" s="29" t="str">
        <f t="shared" si="58"/>
        <v/>
      </c>
      <c r="AT43" s="29" t="str">
        <f t="shared" si="58"/>
        <v/>
      </c>
      <c r="AU43" s="29" t="str">
        <f t="shared" si="58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t="e" cm="1">
        <f t="array" ref="S44">$AC44*E$6*E$9/(SUMPRODUCT($E$6:$N$6,$E$9:$N$9))</f>
        <v>#DIV/0!</v>
      </c>
      <c r="T44" s="29" t="e" cm="1">
        <f t="array" ref="T44">$AC44*F$6*F$9/(SUMPRODUCT($E$6:$N$6,$E$9:$N$9))</f>
        <v>#DIV/0!</v>
      </c>
      <c r="U44" s="29" t="e" cm="1">
        <f t="array" ref="U44">$AC44*G$6*G$9/(SUMPRODUCT($E$6:$N$6,$E$9:$N$9))</f>
        <v>#DIV/0!</v>
      </c>
      <c r="V44" s="29" t="e" cm="1">
        <f t="array" ref="V44">$AC44*H$6*H$9/(SUMPRODUCT($E$6:$N$6,$E$9:$N$9))</f>
        <v>#DIV/0!</v>
      </c>
      <c r="W44" s="29" t="e" cm="1">
        <f t="array" ref="W44">$AC44*I$6*I$9/(SUMPRODUCT($E$6:$N$6,$E$9:$N$9))</f>
        <v>#DIV/0!</v>
      </c>
      <c r="X44" s="29" t="e" cm="1">
        <f t="array" ref="X44">$AC44*J$6*J$9/(SUMPRODUCT($E$6:$N$6,$E$9:$N$9))</f>
        <v>#DIV/0!</v>
      </c>
      <c r="Y44" s="29" t="e" cm="1">
        <f t="array" ref="Y44">$AC44*K$6*K$9/(SUMPRODUCT($E$6:$N$6,$E$9:$N$9))</f>
        <v>#DIV/0!</v>
      </c>
      <c r="Z44" s="29" t="e" cm="1">
        <f t="array" ref="Z44">$AC44*L$6*L$9/(SUMPRODUCT($E$6:$N$6,$E$9:$N$9))</f>
        <v>#DIV/0!</v>
      </c>
      <c r="AA44" s="29" t="e" cm="1">
        <f t="array" ref="AA44">$AC44*M$6*M$9/(SUMPRODUCT($E$6:$N$6,$E$9:$N$9))</f>
        <v>#DIV/0!</v>
      </c>
      <c r="AB44" s="29" t="e" cm="1">
        <f t="array" ref="AB44">$AC44*N$6*N$9/(SUMPRODUCT($E$6:$N$6,$E$9:$N$9))</f>
        <v>#DIV/0!</v>
      </c>
      <c r="AC44" s="29" t="e">
        <f>$E$4*$E$16*12/$E$10</f>
        <v>#DIV/0!</v>
      </c>
      <c r="AD44" s="27" t="e">
        <f t="shared" si="55"/>
        <v>#DIV/0!</v>
      </c>
      <c r="AE44" s="29"/>
      <c r="AF44" s="29"/>
      <c r="AG44" s="28"/>
      <c r="AH44" s="1" t="s">
        <v>68</v>
      </c>
      <c r="AI44" s="35"/>
      <c r="AJ44" s="29" t="str">
        <f t="shared" ref="AJ44:AU44" si="59">IF($E$3="纯租赁",IF(AJ38*12&lt;=$E$12,$E$4*$E$16*12,""),IF(AJ38*12&lt;=$E$28,$E$4*$E$16*12,""))</f>
        <v/>
      </c>
      <c r="AK44" s="29" t="str">
        <f t="shared" si="59"/>
        <v/>
      </c>
      <c r="AL44" s="29" t="str">
        <f t="shared" si="59"/>
        <v/>
      </c>
      <c r="AM44" s="29" t="str">
        <f t="shared" si="59"/>
        <v/>
      </c>
      <c r="AN44" s="29" t="str">
        <f t="shared" si="59"/>
        <v/>
      </c>
      <c r="AO44" s="29" t="str">
        <f t="shared" si="59"/>
        <v/>
      </c>
      <c r="AP44" s="29" t="str">
        <f t="shared" si="59"/>
        <v/>
      </c>
      <c r="AQ44" s="29" t="str">
        <f t="shared" si="59"/>
        <v/>
      </c>
      <c r="AR44" s="29" t="str">
        <f t="shared" si="59"/>
        <v/>
      </c>
      <c r="AS44" s="29" t="str">
        <f t="shared" si="59"/>
        <v/>
      </c>
      <c r="AT44" s="29" t="str">
        <f t="shared" si="59"/>
        <v/>
      </c>
      <c r="AU44" s="29" t="str">
        <f t="shared" si="59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t="e" cm="1">
        <f t="array" ref="S45">$AC45*E$6*E$9/(SUMPRODUCT($E$6:$N$6,$E$9:$N$9))</f>
        <v>#DIV/0!</v>
      </c>
      <c r="T45" s="29" t="e" cm="1">
        <f t="array" ref="T45">$AC45*F$6*F$9/(SUMPRODUCT($E$6:$N$6,$E$9:$N$9))</f>
        <v>#DIV/0!</v>
      </c>
      <c r="U45" s="29" t="e" cm="1">
        <f t="array" ref="U45">$AC45*G$6*G$9/(SUMPRODUCT($E$6:$N$6,$E$9:$N$9))</f>
        <v>#DIV/0!</v>
      </c>
      <c r="V45" s="29" t="e" cm="1">
        <f t="array" ref="V45">$AC45*H$6*H$9/(SUMPRODUCT($E$6:$N$6,$E$9:$N$9))</f>
        <v>#DIV/0!</v>
      </c>
      <c r="W45" s="29" t="e" cm="1">
        <f t="array" ref="W45">$AC45*I$6*I$9/(SUMPRODUCT($E$6:$N$6,$E$9:$N$9))</f>
        <v>#DIV/0!</v>
      </c>
      <c r="X45" s="29" t="e" cm="1">
        <f t="array" ref="X45">$AC45*J$6*J$9/(SUMPRODUCT($E$6:$N$6,$E$9:$N$9))</f>
        <v>#DIV/0!</v>
      </c>
      <c r="Y45" s="29" t="e" cm="1">
        <f t="array" ref="Y45">$AC45*K$6*K$9/(SUMPRODUCT($E$6:$N$6,$E$9:$N$9))</f>
        <v>#DIV/0!</v>
      </c>
      <c r="Z45" s="29" t="e" cm="1">
        <f t="array" ref="Z45">$AC45*L$6*L$9/(SUMPRODUCT($E$6:$N$6,$E$9:$N$9))</f>
        <v>#DIV/0!</v>
      </c>
      <c r="AA45" s="29" t="e" cm="1">
        <f t="array" ref="AA45">$AC45*M$6*M$9/(SUMPRODUCT($E$6:$N$6,$E$9:$N$9))</f>
        <v>#DIV/0!</v>
      </c>
      <c r="AB45" s="29" t="e" cm="1">
        <f t="array" ref="AB45">$AC45*N$6*N$9/(SUMPRODUCT($E$6:$N$6,$E$9:$N$9))</f>
        <v>#DIV/0!</v>
      </c>
      <c r="AC45" s="29" t="e">
        <f>$E$4*$E$17*12/$E$10</f>
        <v>#DIV/0!</v>
      </c>
      <c r="AD45" s="27" t="e">
        <f t="shared" si="55"/>
        <v>#DIV/0!</v>
      </c>
      <c r="AE45" s="29"/>
      <c r="AF45" s="29"/>
      <c r="AG45" s="28"/>
      <c r="AH45" s="1" t="s">
        <v>71</v>
      </c>
      <c r="AI45" s="35"/>
      <c r="AJ45" s="29" t="str">
        <f t="shared" ref="AJ45:AU45" si="60">IF($E$3="纯租赁",IF(AJ38*12&lt;=$E$12,$E$4*$E$17*12,""),IF(AJ38*12&lt;=$E$28,$E$4*$E$17*12,""))</f>
        <v/>
      </c>
      <c r="AK45" s="29" t="str">
        <f t="shared" si="60"/>
        <v/>
      </c>
      <c r="AL45" s="29" t="str">
        <f t="shared" si="60"/>
        <v/>
      </c>
      <c r="AM45" s="29" t="str">
        <f t="shared" si="60"/>
        <v/>
      </c>
      <c r="AN45" s="29" t="str">
        <f t="shared" si="60"/>
        <v/>
      </c>
      <c r="AO45" s="29" t="str">
        <f t="shared" si="60"/>
        <v/>
      </c>
      <c r="AP45" s="29" t="str">
        <f t="shared" si="60"/>
        <v/>
      </c>
      <c r="AQ45" s="29" t="str">
        <f t="shared" si="60"/>
        <v/>
      </c>
      <c r="AR45" s="29" t="str">
        <f t="shared" si="60"/>
        <v/>
      </c>
      <c r="AS45" s="29" t="str">
        <f t="shared" si="60"/>
        <v/>
      </c>
      <c r="AT45" s="29" t="str">
        <f t="shared" si="60"/>
        <v/>
      </c>
      <c r="AU45" s="29" t="str">
        <f t="shared" si="60"/>
        <v/>
      </c>
    </row>
    <row r="46" spans="1:63">
      <c r="P46" s="40"/>
      <c r="Q46" s="28"/>
      <c r="R46" s="35" t="s">
        <v>74</v>
      </c>
      <c r="S46" s="29" t="e" cm="1">
        <f t="array" ref="S46">$AC46*E$6*E$9/(SUMPRODUCT($E$6:$N$6,$E$9:$N$9))</f>
        <v>#DIV/0!</v>
      </c>
      <c r="T46" s="29" t="e" cm="1">
        <f t="array" ref="T46">$AC46*F$6*F$9/(SUMPRODUCT($E$6:$N$6,$E$9:$N$9))</f>
        <v>#DIV/0!</v>
      </c>
      <c r="U46" s="29" t="e" cm="1">
        <f t="array" ref="U46">$AC46*G$6*G$9/(SUMPRODUCT($E$6:$N$6,$E$9:$N$9))</f>
        <v>#DIV/0!</v>
      </c>
      <c r="V46" s="29" t="e" cm="1">
        <f t="array" ref="V46">$AC46*H$6*H$9/(SUMPRODUCT($E$6:$N$6,$E$9:$N$9))</f>
        <v>#DIV/0!</v>
      </c>
      <c r="W46" s="29" t="e" cm="1">
        <f t="array" ref="W46">$AC46*I$6*I$9/(SUMPRODUCT($E$6:$N$6,$E$9:$N$9))</f>
        <v>#DIV/0!</v>
      </c>
      <c r="X46" s="29" t="e" cm="1">
        <f t="array" ref="X46">$AC46*J$6*J$9/(SUMPRODUCT($E$6:$N$6,$E$9:$N$9))</f>
        <v>#DIV/0!</v>
      </c>
      <c r="Y46" s="29" t="e" cm="1">
        <f t="array" ref="Y46">$AC46*K$6*K$9/(SUMPRODUCT($E$6:$N$6,$E$9:$N$9))</f>
        <v>#DIV/0!</v>
      </c>
      <c r="Z46" s="29" t="e" cm="1">
        <f t="array" ref="Z46">$AC46*L$6*L$9/(SUMPRODUCT($E$6:$N$6,$E$9:$N$9))</f>
        <v>#DIV/0!</v>
      </c>
      <c r="AA46" s="29" t="e" cm="1">
        <f t="array" ref="AA46">$AC46*M$6*M$9/(SUMPRODUCT($E$6:$N$6,$E$9:$N$9))</f>
        <v>#DIV/0!</v>
      </c>
      <c r="AB46" s="29" t="e" cm="1">
        <f t="array" ref="AB46">$AC46*N$6*N$9/(SUMPRODUCT($E$6:$N$6,$E$9:$N$9))</f>
        <v>#DIV/0!</v>
      </c>
      <c r="AC46" s="29" t="e">
        <f>$E$4*$E$18*12/$E$10</f>
        <v>#DIV/0!</v>
      </c>
      <c r="AD46" s="27" t="e">
        <f t="shared" si="55"/>
        <v>#DIV/0!</v>
      </c>
      <c r="AE46" s="29"/>
      <c r="AF46" s="29"/>
      <c r="AG46" s="28"/>
      <c r="AH46" s="1" t="s">
        <v>74</v>
      </c>
      <c r="AI46" s="35"/>
      <c r="AJ46" s="29" t="str">
        <f t="shared" ref="AJ46:AU46" si="61">IF($E$3="纯租赁",IF(AJ38*12&lt;=$E$12,$E$4*$E$18*12,""),IF(AJ38*12&lt;=$E$28,$E$4*$E$18*12,""))</f>
        <v/>
      </c>
      <c r="AK46" s="29" t="str">
        <f t="shared" si="61"/>
        <v/>
      </c>
      <c r="AL46" s="29" t="str">
        <f t="shared" si="61"/>
        <v/>
      </c>
      <c r="AM46" s="29" t="str">
        <f t="shared" si="61"/>
        <v/>
      </c>
      <c r="AN46" s="29" t="str">
        <f t="shared" si="61"/>
        <v/>
      </c>
      <c r="AO46" s="29" t="str">
        <f t="shared" si="61"/>
        <v/>
      </c>
      <c r="AP46" s="29" t="str">
        <f t="shared" si="61"/>
        <v/>
      </c>
      <c r="AQ46" s="29" t="str">
        <f t="shared" si="61"/>
        <v/>
      </c>
      <c r="AR46" s="29" t="str">
        <f t="shared" si="61"/>
        <v/>
      </c>
      <c r="AS46" s="29" t="str">
        <f t="shared" si="61"/>
        <v/>
      </c>
      <c r="AT46" s="29" t="str">
        <f t="shared" si="61"/>
        <v/>
      </c>
      <c r="AU46" s="29" t="str">
        <f t="shared" si="61"/>
        <v/>
      </c>
    </row>
    <row r="47" spans="1:63">
      <c r="P47" s="40"/>
      <c r="Q47" s="28"/>
      <c r="R47" s="35" t="s">
        <v>78</v>
      </c>
      <c r="S47" s="29" t="e" cm="1">
        <f t="array" ref="S47">$AC47*E$6*E$9/(SUMPRODUCT($E$6:$N$6,$E$9:$N$9))</f>
        <v>#DIV/0!</v>
      </c>
      <c r="T47" s="29" t="e" cm="1">
        <f t="array" ref="T47">$AC47*F$6*F$9/(SUMPRODUCT($E$6:$N$6,$E$9:$N$9))</f>
        <v>#DIV/0!</v>
      </c>
      <c r="U47" s="29" t="e" cm="1">
        <f t="array" ref="U47">$AC47*G$6*G$9/(SUMPRODUCT($E$6:$N$6,$E$9:$N$9))</f>
        <v>#DIV/0!</v>
      </c>
      <c r="V47" s="29" t="e" cm="1">
        <f t="array" ref="V47">$AC47*H$6*H$9/(SUMPRODUCT($E$6:$N$6,$E$9:$N$9))</f>
        <v>#DIV/0!</v>
      </c>
      <c r="W47" s="29" t="e" cm="1">
        <f t="array" ref="W47">$AC47*I$6*I$9/(SUMPRODUCT($E$6:$N$6,$E$9:$N$9))</f>
        <v>#DIV/0!</v>
      </c>
      <c r="X47" s="29" t="e" cm="1">
        <f t="array" ref="X47">$AC47*J$6*J$9/(SUMPRODUCT($E$6:$N$6,$E$9:$N$9))</f>
        <v>#DIV/0!</v>
      </c>
      <c r="Y47" s="29" t="e" cm="1">
        <f t="array" ref="Y47">$AC47*K$6*K$9/(SUMPRODUCT($E$6:$N$6,$E$9:$N$9))</f>
        <v>#DIV/0!</v>
      </c>
      <c r="Z47" s="29" t="e" cm="1">
        <f t="array" ref="Z47">$AC47*L$6*L$9/(SUMPRODUCT($E$6:$N$6,$E$9:$N$9))</f>
        <v>#DIV/0!</v>
      </c>
      <c r="AA47" s="29" t="e" cm="1">
        <f t="array" ref="AA47">$AC47*M$6*M$9/(SUMPRODUCT($E$6:$N$6,$E$9:$N$9))</f>
        <v>#DIV/0!</v>
      </c>
      <c r="AB47" s="29" t="e" cm="1">
        <f t="array" ref="AB47">$AC47*N$6*N$9/(SUMPRODUCT($E$6:$N$6,$E$9:$N$9))</f>
        <v>#DIV/0!</v>
      </c>
      <c r="AC47" s="29" t="e">
        <f>$E$4*$E$19*12/$E$10</f>
        <v>#DIV/0!</v>
      </c>
      <c r="AD47" s="27" t="e">
        <f t="shared" si="55"/>
        <v>#DIV/0!</v>
      </c>
      <c r="AE47" s="29"/>
      <c r="AF47" s="29"/>
      <c r="AG47" s="28"/>
      <c r="AH47" s="1" t="s">
        <v>78</v>
      </c>
      <c r="AI47" s="35"/>
      <c r="AJ47" s="29" t="str">
        <f t="shared" ref="AJ47:AU47" si="62">IF($E$3="纯租赁",IF(AJ38*12&lt;=$E$12,$E$4*$E$19*12,""),IF(AJ38*12&lt;=$E$28,$E$4*$E$19*12,""))</f>
        <v/>
      </c>
      <c r="AK47" s="29" t="str">
        <f t="shared" si="62"/>
        <v/>
      </c>
      <c r="AL47" s="29" t="str">
        <f t="shared" si="62"/>
        <v/>
      </c>
      <c r="AM47" s="29" t="str">
        <f t="shared" si="62"/>
        <v/>
      </c>
      <c r="AN47" s="29" t="str">
        <f t="shared" si="62"/>
        <v/>
      </c>
      <c r="AO47" s="29" t="str">
        <f t="shared" si="62"/>
        <v/>
      </c>
      <c r="AP47" s="29" t="str">
        <f t="shared" si="62"/>
        <v/>
      </c>
      <c r="AQ47" s="29" t="str">
        <f t="shared" si="62"/>
        <v/>
      </c>
      <c r="AR47" s="29" t="str">
        <f t="shared" si="62"/>
        <v/>
      </c>
      <c r="AS47" s="29" t="str">
        <f t="shared" si="62"/>
        <v/>
      </c>
      <c r="AT47" s="29" t="str">
        <f t="shared" si="62"/>
        <v/>
      </c>
      <c r="AU47" s="29" t="str">
        <f t="shared" si="62"/>
        <v/>
      </c>
    </row>
    <row r="48" spans="1:63">
      <c r="P48" s="40"/>
      <c r="Q48" s="28"/>
      <c r="R48" s="35" t="s">
        <v>82</v>
      </c>
      <c r="S48" s="29" t="e" cm="1">
        <f t="array" ref="S48">$AC48*E$6*E$9/(SUMPRODUCT($E$6:$N$6,$E$9:$N$9))</f>
        <v>#DIV/0!</v>
      </c>
      <c r="T48" s="29" t="e" cm="1">
        <f t="array" ref="T48">$AC48*F$6*F$9/(SUMPRODUCT($E$6:$N$6,$E$9:$N$9))</f>
        <v>#DIV/0!</v>
      </c>
      <c r="U48" s="29" t="e" cm="1">
        <f t="array" ref="U48">$AC48*G$6*G$9/(SUMPRODUCT($E$6:$N$6,$E$9:$N$9))</f>
        <v>#DIV/0!</v>
      </c>
      <c r="V48" s="29" t="e" cm="1">
        <f t="array" ref="V48">$AC48*H$6*H$9/(SUMPRODUCT($E$6:$N$6,$E$9:$N$9))</f>
        <v>#DIV/0!</v>
      </c>
      <c r="W48" s="29" t="e" cm="1">
        <f t="array" ref="W48">$AC48*I$6*I$9/(SUMPRODUCT($E$6:$N$6,$E$9:$N$9))</f>
        <v>#DIV/0!</v>
      </c>
      <c r="X48" s="29" t="e" cm="1">
        <f t="array" ref="X48">$AC48*J$6*J$9/(SUMPRODUCT($E$6:$N$6,$E$9:$N$9))</f>
        <v>#DIV/0!</v>
      </c>
      <c r="Y48" s="29" t="e" cm="1">
        <f t="array" ref="Y48">$AC48*K$6*K$9/(SUMPRODUCT($E$6:$N$6,$E$9:$N$9))</f>
        <v>#DIV/0!</v>
      </c>
      <c r="Z48" s="29" t="e" cm="1">
        <f t="array" ref="Z48">$AC48*L$6*L$9/(SUMPRODUCT($E$6:$N$6,$E$9:$N$9))</f>
        <v>#DIV/0!</v>
      </c>
      <c r="AA48" s="29" t="e" cm="1">
        <f t="array" ref="AA48">$AC48*M$6*M$9/(SUMPRODUCT($E$6:$N$6,$E$9:$N$9))</f>
        <v>#DIV/0!</v>
      </c>
      <c r="AB48" s="29" t="e" cm="1">
        <f t="array" ref="AB48">$AC48*N$6*N$9/(SUMPRODUCT($E$6:$N$6,$E$9:$N$9))</f>
        <v>#DIV/0!</v>
      </c>
      <c r="AC48" s="29" t="e">
        <f>$E$4*$E$20*12/$E$10</f>
        <v>#DIV/0!</v>
      </c>
      <c r="AD48" s="27" t="e">
        <f t="shared" si="55"/>
        <v>#DIV/0!</v>
      </c>
      <c r="AE48" s="29"/>
      <c r="AF48" s="29"/>
      <c r="AG48" s="28"/>
      <c r="AH48" s="1" t="s">
        <v>82</v>
      </c>
      <c r="AI48" s="35"/>
      <c r="AJ48" s="29" t="str">
        <f t="shared" ref="AJ48:AU48" si="63">IF($E$3="纯租赁",IF(AJ38*12&lt;=$E$12,$E$4*$E$20*12,""),IF(AJ38*12&lt;=$E$28,$E$4*$E$20*12,""))</f>
        <v/>
      </c>
      <c r="AK48" s="29" t="str">
        <f t="shared" si="63"/>
        <v/>
      </c>
      <c r="AL48" s="29" t="str">
        <f t="shared" si="63"/>
        <v/>
      </c>
      <c r="AM48" s="29" t="str">
        <f t="shared" si="63"/>
        <v/>
      </c>
      <c r="AN48" s="29" t="str">
        <f t="shared" si="63"/>
        <v/>
      </c>
      <c r="AO48" s="29" t="str">
        <f t="shared" si="63"/>
        <v/>
      </c>
      <c r="AP48" s="29" t="str">
        <f t="shared" si="63"/>
        <v/>
      </c>
      <c r="AQ48" s="29" t="str">
        <f t="shared" si="63"/>
        <v/>
      </c>
      <c r="AR48" s="29" t="str">
        <f t="shared" si="63"/>
        <v/>
      </c>
      <c r="AS48" s="29" t="str">
        <f t="shared" si="63"/>
        <v/>
      </c>
      <c r="AT48" s="29" t="str">
        <f t="shared" si="63"/>
        <v/>
      </c>
      <c r="AU48" s="29" t="str">
        <f t="shared" si="63"/>
        <v/>
      </c>
    </row>
    <row r="49" spans="16:47">
      <c r="P49" s="40"/>
      <c r="Q49" s="28"/>
      <c r="R49" s="23" t="s">
        <v>85</v>
      </c>
      <c r="S49" s="24" t="e" cm="1">
        <f t="array" ref="S49">$AC49*E$6*E$9/(SUMPRODUCT($E$6:$N$6,$E$9:$N$9))</f>
        <v>#DIV/0!</v>
      </c>
      <c r="T49" s="24" t="e" cm="1">
        <f t="array" ref="T49">$AC49*F$6*F$9/(SUMPRODUCT($E$6:$N$6,$E$9:$N$9))</f>
        <v>#DIV/0!</v>
      </c>
      <c r="U49" s="24" t="e" cm="1">
        <f t="array" ref="U49">$AC49*G$6*G$9/(SUMPRODUCT($E$6:$N$6,$E$9:$N$9))</f>
        <v>#DIV/0!</v>
      </c>
      <c r="V49" s="24" t="e" cm="1">
        <f t="array" ref="V49">$AC49*H$6*H$9/(SUMPRODUCT($E$6:$N$6,$E$9:$N$9))</f>
        <v>#DIV/0!</v>
      </c>
      <c r="W49" s="24" t="e" cm="1">
        <f t="array" ref="W49">$AC49*I$6*I$9/(SUMPRODUCT($E$6:$N$6,$E$9:$N$9))</f>
        <v>#DIV/0!</v>
      </c>
      <c r="X49" s="24" t="e" cm="1">
        <f t="array" ref="X49">$AC49*J$6*J$9/(SUMPRODUCT($E$6:$N$6,$E$9:$N$9))</f>
        <v>#DIV/0!</v>
      </c>
      <c r="Y49" s="24" t="e" cm="1">
        <f t="array" ref="Y49">$AC49*K$6*K$9/(SUMPRODUCT($E$6:$N$6,$E$9:$N$9))</f>
        <v>#DIV/0!</v>
      </c>
      <c r="Z49" s="24" t="e" cm="1">
        <f t="array" ref="Z49">$AC49*L$6*L$9/(SUMPRODUCT($E$6:$N$6,$E$9:$N$9))</f>
        <v>#DIV/0!</v>
      </c>
      <c r="AA49" s="24" t="e" cm="1">
        <f t="array" ref="AA49">$AC49*M$6*M$9/(SUMPRODUCT($E$6:$N$6,$E$9:$N$9))</f>
        <v>#DIV/0!</v>
      </c>
      <c r="AB49" s="24" t="e" cm="1">
        <f t="array" ref="AB49">$AC49*N$6*N$9/(SUMPRODUCT($E$6:$N$6,$E$9:$N$9))</f>
        <v>#DIV/0!</v>
      </c>
      <c r="AC49" s="24" t="e">
        <f>$E$4*$E$21*12/$E$10</f>
        <v>#DIV/0!</v>
      </c>
      <c r="AD49" s="79" t="e">
        <f t="shared" si="55"/>
        <v>#DIV/0!</v>
      </c>
      <c r="AG49" s="28"/>
      <c r="AH49" s="1" t="s">
        <v>85</v>
      </c>
      <c r="AI49" s="35"/>
      <c r="AJ49" s="29" t="str">
        <f t="shared" ref="AJ49:AU49" si="64">IF($E$3="纯租赁",IF(AJ38*12&lt;=$E$12,$E$4*$E$21*12,""),IF(AJ38*12&lt;=$E$28,$E$4*$E$21*12,""))</f>
        <v/>
      </c>
      <c r="AK49" s="29" t="str">
        <f t="shared" si="64"/>
        <v/>
      </c>
      <c r="AL49" s="29" t="str">
        <f t="shared" si="64"/>
        <v/>
      </c>
      <c r="AM49" s="29" t="str">
        <f t="shared" si="64"/>
        <v/>
      </c>
      <c r="AN49" s="29" t="str">
        <f t="shared" si="64"/>
        <v/>
      </c>
      <c r="AO49" s="29" t="str">
        <f t="shared" si="64"/>
        <v/>
      </c>
      <c r="AP49" s="29" t="str">
        <f t="shared" si="64"/>
        <v/>
      </c>
      <c r="AQ49" s="29" t="str">
        <f t="shared" si="64"/>
        <v/>
      </c>
      <c r="AR49" s="29" t="str">
        <f t="shared" si="64"/>
        <v/>
      </c>
      <c r="AS49" s="29" t="str">
        <f t="shared" si="64"/>
        <v/>
      </c>
      <c r="AT49" s="29" t="str">
        <f t="shared" si="64"/>
        <v/>
      </c>
      <c r="AU49" s="29" t="str">
        <f t="shared" si="64"/>
        <v/>
      </c>
    </row>
    <row r="50" spans="16:47">
      <c r="Q50" s="53" t="s">
        <v>15</v>
      </c>
      <c r="R50" s="35" t="s">
        <v>88</v>
      </c>
      <c r="S50" s="29">
        <f t="shared" ref="S50:AB50" si="65">$E$4*E$9*E$22</f>
        <v>0</v>
      </c>
      <c r="T50" s="29">
        <f t="shared" si="65"/>
        <v>0</v>
      </c>
      <c r="U50" s="29">
        <f t="shared" si="65"/>
        <v>0</v>
      </c>
      <c r="V50" s="29">
        <f t="shared" si="65"/>
        <v>0</v>
      </c>
      <c r="W50" s="29">
        <f t="shared" si="65"/>
        <v>0</v>
      </c>
      <c r="X50" s="29">
        <f t="shared" si="65"/>
        <v>0</v>
      </c>
      <c r="Y50" s="29">
        <f t="shared" si="65"/>
        <v>0</v>
      </c>
      <c r="Z50" s="29">
        <f t="shared" si="65"/>
        <v>0</v>
      </c>
      <c r="AA50" s="29">
        <f t="shared" si="65"/>
        <v>0</v>
      </c>
      <c r="AB50" s="29">
        <f t="shared" si="65"/>
        <v>0</v>
      </c>
      <c r="AC50" s="29" cm="1">
        <f t="array" ref="AC50">$E$4*SUMPRODUCT($E$9:$N$9,$E$22:$N$22)</f>
        <v>0</v>
      </c>
      <c r="AD50" s="27" t="e">
        <f t="shared" si="55"/>
        <v>#DIV/0!</v>
      </c>
      <c r="AG50" s="53" t="s">
        <v>15</v>
      </c>
      <c r="AH50" s="80" t="s">
        <v>88</v>
      </c>
      <c r="AI50" s="81"/>
      <c r="AJ50" s="82" t="str" cm="1">
        <f t="array" ref="AJ50">IF($E$3="纯租赁",IF(AJ38*12&lt;=$E$12,$E$4*SUMPRODUCT($E$9:$N$9,$E$22:$N$22)*$E$10,""),IF(AJ38*12&lt;=$E$28,$E$4*SUMPRODUCT($E$9:$N$9,$E$22:$N$22)*$E$10,""))</f>
        <v/>
      </c>
      <c r="AK50" s="82" t="str" cm="1">
        <f t="array" ref="AK50">IF($E$3="纯租赁",IF(AK38*12&lt;=$E$12,$E$4*SUMPRODUCT($E$9:$N$9,$E$22:$N$22)*$E$10,""),IF(AK38*12&lt;=$E$28,$E$4*SUMPRODUCT($E$9:$N$9,$E$22:$N$22)*$E$10,""))</f>
        <v/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66">$E$4*E$9*E$23</f>
        <v>0</v>
      </c>
      <c r="T51" s="29">
        <f t="shared" si="66"/>
        <v>0</v>
      </c>
      <c r="U51" s="29">
        <f t="shared" si="66"/>
        <v>0</v>
      </c>
      <c r="V51" s="29">
        <f t="shared" si="66"/>
        <v>0</v>
      </c>
      <c r="W51" s="29">
        <f t="shared" si="66"/>
        <v>0</v>
      </c>
      <c r="X51" s="29">
        <f t="shared" si="66"/>
        <v>0</v>
      </c>
      <c r="Y51" s="29">
        <f t="shared" si="66"/>
        <v>0</v>
      </c>
      <c r="Z51" s="29">
        <f t="shared" si="66"/>
        <v>0</v>
      </c>
      <c r="AA51" s="29">
        <f t="shared" si="66"/>
        <v>0</v>
      </c>
      <c r="AB51" s="29">
        <f t="shared" si="66"/>
        <v>0</v>
      </c>
      <c r="AC51" s="29" cm="1">
        <f t="array" ref="AC51">$E$4*SUMPRODUCT($E$9:$N$9,$E$23:$N$23)</f>
        <v>0</v>
      </c>
      <c r="AD51" s="27" t="e">
        <f t="shared" si="55"/>
        <v>#DIV/0!</v>
      </c>
      <c r="AF51" s="71"/>
      <c r="AG51" s="28"/>
      <c r="AH51" s="1" t="s">
        <v>91</v>
      </c>
      <c r="AI51" s="35"/>
      <c r="AJ51" s="29" t="str" cm="1">
        <f t="array" ref="AJ51">IF($E$3="纯租赁",IF(AJ38*12&lt;=$E$12,$E$4*SUMPRODUCT($E$23:$N$23,$E$9:$N$9)*$E$10,""),IF(AJ38*12&lt;=$E$28,$E$4*SUMPRODUCT($E$23:$N$23,$E$9:$N$9)*$E$10,""))</f>
        <v/>
      </c>
      <c r="AK51" s="29" t="str" cm="1">
        <f t="array" ref="AK51">IF($E$3="纯租赁",IF(AK38*12&lt;=$E$12,$E$4*SUMPRODUCT($E$23:$N$23,$E$9:$N$9)*$E$10,""),IF(AK38*12&lt;=$E$28,$E$4*SUMPRODUCT($E$23:$N$23,$E$9:$N$9)*$E$10,""))</f>
        <v/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67">$E$4*E$9*E$24</f>
        <v>0</v>
      </c>
      <c r="T52" s="29">
        <f t="shared" si="67"/>
        <v>0</v>
      </c>
      <c r="U52" s="29">
        <f t="shared" si="67"/>
        <v>0</v>
      </c>
      <c r="V52" s="29">
        <f t="shared" si="67"/>
        <v>0</v>
      </c>
      <c r="W52" s="29">
        <f t="shared" si="67"/>
        <v>0</v>
      </c>
      <c r="X52" s="29">
        <f t="shared" si="67"/>
        <v>0</v>
      </c>
      <c r="Y52" s="29">
        <f t="shared" si="67"/>
        <v>0</v>
      </c>
      <c r="Z52" s="29">
        <f t="shared" si="67"/>
        <v>0</v>
      </c>
      <c r="AA52" s="29">
        <f t="shared" si="67"/>
        <v>0</v>
      </c>
      <c r="AB52" s="29">
        <f t="shared" si="67"/>
        <v>0</v>
      </c>
      <c r="AC52" s="29" cm="1">
        <f t="array" ref="AC52">$E$4*SUMPRODUCT($E$9:$N$9,$E$24:$N$24)</f>
        <v>0</v>
      </c>
      <c r="AD52" s="27" t="e">
        <f t="shared" si="55"/>
        <v>#DIV/0!</v>
      </c>
      <c r="AG52" s="28"/>
      <c r="AH52" s="1" t="s">
        <v>94</v>
      </c>
      <c r="AI52" s="35"/>
      <c r="AJ52" s="29" t="str" cm="1">
        <f t="array" ref="AJ52">IF($E$3="纯租赁",IF(AJ38*12&lt;=$E$12,$E$4*$E$10*SUMPRODUCT($E$24:$N$24,$E$9:$N$9),""),IF(AJ38*12&lt;=$E$28,$E$4*$E$10*SUMPRODUCT($E$24:$N$24,$E$9:$N$9),""))</f>
        <v/>
      </c>
      <c r="AK52" s="29" t="str" cm="1">
        <f t="array" ref="AK52">IF($E$3="纯租赁",IF(AK38*12&lt;=$E$12,$E$4*$E$10*SUMPRODUCT($E$24:$N$24,$E$9:$N$9),""),IF(AK38*12&lt;=$E$28,$E$4*$E$10*SUMPRODUCT($E$24:$N$24,$E$9:$N$9),""))</f>
        <v/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68">$E$4*E$9*E$25</f>
        <v>0</v>
      </c>
      <c r="T53" s="29">
        <f t="shared" si="68"/>
        <v>0</v>
      </c>
      <c r="U53" s="29">
        <f t="shared" si="68"/>
        <v>0</v>
      </c>
      <c r="V53" s="29">
        <f t="shared" si="68"/>
        <v>0</v>
      </c>
      <c r="W53" s="29">
        <f t="shared" si="68"/>
        <v>0</v>
      </c>
      <c r="X53" s="29">
        <f t="shared" si="68"/>
        <v>0</v>
      </c>
      <c r="Y53" s="29">
        <f t="shared" si="68"/>
        <v>0</v>
      </c>
      <c r="Z53" s="29">
        <f t="shared" si="68"/>
        <v>0</v>
      </c>
      <c r="AA53" s="29">
        <f t="shared" si="68"/>
        <v>0</v>
      </c>
      <c r="AB53" s="29">
        <f t="shared" si="68"/>
        <v>0</v>
      </c>
      <c r="AC53" s="29" cm="1">
        <f t="array" ref="AC53">$E$4*SUMPRODUCT($E$9:$N$9,$E$25:$N$25)</f>
        <v>0</v>
      </c>
      <c r="AD53" s="27" t="e">
        <f t="shared" si="55"/>
        <v>#DIV/0!</v>
      </c>
      <c r="AG53" s="28"/>
      <c r="AH53" s="1" t="s">
        <v>97</v>
      </c>
      <c r="AI53" s="35"/>
      <c r="AJ53" s="29" t="str" cm="1">
        <f t="array" ref="AJ53">IF($E$3="纯租赁",IF(AJ38*12&lt;=$E$12,$E$4*$E$10*SUMPRODUCT($E$25:$N$25,$E$9:$N$9),""),IF(AJ38*12&lt;=$E$28,$E$4*$E$10*SUMPRODUCT($E$25:$N$25,$E$9:$N$9),""))</f>
        <v/>
      </c>
      <c r="AK53" s="29" t="str" cm="1">
        <f t="array" ref="AK53">IF($E$3="纯租赁",IF(AK38*12&lt;=$E$12,$E$4*$E$10*SUMPRODUCT($E$25:$N$25,$E$9:$N$9),""),IF(AK38*12&lt;=$E$28,$E$4*$E$10*SUMPRODUCT($E$25:$N$25,$E$9:$N$9),""))</f>
        <v/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69">IF(E$8,$E$4*$E$32*$E$5*E$6,$E$4*$E$33*$E$5*E$6)*E$9</f>
        <v>0</v>
      </c>
      <c r="T54" s="20">
        <f t="shared" si="69"/>
        <v>0</v>
      </c>
      <c r="U54" s="20">
        <f t="shared" si="69"/>
        <v>0</v>
      </c>
      <c r="V54" s="20">
        <f t="shared" si="69"/>
        <v>0</v>
      </c>
      <c r="W54" s="20">
        <f t="shared" si="69"/>
        <v>0</v>
      </c>
      <c r="X54" s="20">
        <f t="shared" si="69"/>
        <v>0</v>
      </c>
      <c r="Y54" s="20">
        <f t="shared" si="69"/>
        <v>0</v>
      </c>
      <c r="Z54" s="20">
        <f t="shared" si="69"/>
        <v>0</v>
      </c>
      <c r="AA54" s="20">
        <f t="shared" si="69"/>
        <v>0</v>
      </c>
      <c r="AB54" s="20">
        <f t="shared" si="69"/>
        <v>0</v>
      </c>
      <c r="AC54" s="29" cm="1">
        <f t="array" ref="AC54">$E$4*$E$5*SUMPRODUCT(IF($E$8:$N$8,$E$32,$E$33),$E$6:$N$6,$E$9:$N$9)</f>
        <v>0</v>
      </c>
      <c r="AD54" s="27" t="e">
        <f t="shared" si="55"/>
        <v>#DIV/0!</v>
      </c>
      <c r="AG54" s="28"/>
      <c r="AH54" s="1" t="s">
        <v>100</v>
      </c>
      <c r="AI54" s="35"/>
      <c r="AJ54" s="29" t="str" cm="1">
        <f t="array" ref="AJ54">IF($E$3="纯租赁",IF(AJ38*12&lt;=$E$12,$E$4*$E$5*$E$10*SUMPRODUCT(IF($E$8:$N$8,$E$32,$E$33),$E$6:$N$6,$E$9:$N$9),""),IF(AJ38*12&lt;=$E$28,$E$4*$E$5*$E$10*SUMPRODUCT(IF($E$8:$N$8,$E$32,$E$33),$E$6:$N$6,$E$9:$N$9),""))</f>
        <v/>
      </c>
      <c r="AK54" s="29" t="str" cm="1">
        <f t="array" ref="AK54">IF($E$3="纯租赁",IF(AK38*12&lt;=$E$12,$E$4*$E$5*$E$10*SUMPRODUCT(IF($E$8:$N$8,$E$32,$E$33),$E$6:$N$6,$E$9:$N$9),""),IF(AK38*12&lt;=$E$28,$E$4*$E$5*$E$10*SUMPRODUCT(IF($E$8:$N$8,$E$32,$E$33),$E$6:$N$6,$E$9:$N$9),""))</f>
        <v/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t="e" cm="1">
        <f t="array" ref="S55">$AC55*E$6*E$9/(SUMPRODUCT($E$6:$N$6,$E$9:$N$9))</f>
        <v>#DIV/0!</v>
      </c>
      <c r="T55" s="24" t="e" cm="1">
        <f t="array" ref="T55">$AC55*F$6*F$9/(SUMPRODUCT($E$6:$N$6,$E$9:$N$9))</f>
        <v>#DIV/0!</v>
      </c>
      <c r="U55" s="24" t="e" cm="1">
        <f t="array" ref="U55">$AC55*G$6*G$9/(SUMPRODUCT($E$6:$N$6,$E$9:$N$9))</f>
        <v>#DIV/0!</v>
      </c>
      <c r="V55" s="24" t="e" cm="1">
        <f t="array" ref="V55">$AC55*H$6*H$9/(SUMPRODUCT($E$6:$N$6,$E$9:$N$9))</f>
        <v>#DIV/0!</v>
      </c>
      <c r="W55" s="24" t="e" cm="1">
        <f t="array" ref="W55">$AC55*I$6*I$9/(SUMPRODUCT($E$6:$N$6,$E$9:$N$9))</f>
        <v>#DIV/0!</v>
      </c>
      <c r="X55" s="24" t="e" cm="1">
        <f t="array" ref="X55">$AC55*J$6*J$9/(SUMPRODUCT($E$6:$N$6,$E$9:$N$9))</f>
        <v>#DIV/0!</v>
      </c>
      <c r="Y55" s="24" t="e" cm="1">
        <f t="array" ref="Y55">$AC55*K$6*K$9/(SUMPRODUCT($E$6:$N$6,$E$9:$N$9))</f>
        <v>#DIV/0!</v>
      </c>
      <c r="Z55" s="24" t="e" cm="1">
        <f t="array" ref="Z55">$AC55*L$6*L$9/(SUMPRODUCT($E$6:$N$6,$E$9:$N$9))</f>
        <v>#DIV/0!</v>
      </c>
      <c r="AA55" s="24" t="e" cm="1">
        <f t="array" ref="AA55">$AC55*M$6*M$9/(SUMPRODUCT($E$6:$N$6,$E$9:$N$9))</f>
        <v>#DIV/0!</v>
      </c>
      <c r="AB55" s="24" t="e" cm="1">
        <f t="array" ref="AB55">$AC55*N$6*N$9/(SUMPRODUCT($E$6:$N$6,$E$9:$N$9))</f>
        <v>#DIV/0!</v>
      </c>
      <c r="AC55" s="24" cm="1">
        <f t="array" ref="AC55">SUMPRODUCT($E$6:$N$6,$E$9:$N$9)/$E$29*$E$30*$E$4*$E$31</f>
        <v>0</v>
      </c>
      <c r="AD55" s="79" t="e">
        <f t="shared" si="55"/>
        <v>#DIV/0!</v>
      </c>
      <c r="AG55" s="22"/>
      <c r="AH55" s="50" t="s">
        <v>103</v>
      </c>
      <c r="AI55" s="23"/>
      <c r="AJ55" s="24" t="str" cm="1">
        <f t="array" ref="AJ55">IF($E$3="纯租赁",IF(AJ38*12&lt;=$E$12,SUMPRODUCT($E$6:$N$6,$E$9:$N$9)*$E$10/$E$29*$E$30*$E$4*$E$31,""),IF(AJ38*12&lt;=$E$28,SUMPRODUCT($E$6:$N$6,$E$9:$N$9)*$E$10/$E$29*$E$30*$E$4*$E$31,""))</f>
        <v/>
      </c>
      <c r="AK55" s="24" t="str" cm="1">
        <f t="array" ref="AK55">IF($E$3="纯租赁",IF(AK38*12&lt;=$E$12,SUMPRODUCT($E$6:$N$6,$E$9:$N$9)*$E$10/$E$29*$E$30*$E$4*$E$31,""),IF(AK38*12&lt;=$E$28,SUMPRODUCT($E$6:$N$6,$E$9:$N$9)*$E$10/$E$29*$E$30*$E$4*$E$31,""))</f>
        <v/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t="e" cm="1">
        <f t="array" ref="S56">$AC56*E$6*E$9/(SUMPRODUCT($E$6:$N$6,$E$9:$N$9))</f>
        <v>#DIV/0!</v>
      </c>
      <c r="T56" s="29" t="e" cm="1">
        <f t="array" ref="T56">$AC56*F$6*F$9/(SUMPRODUCT($E$6:$N$6,$E$9:$N$9))</f>
        <v>#DIV/0!</v>
      </c>
      <c r="U56" s="29" t="e" cm="1">
        <f t="array" ref="U56">$AC56*G$6*G$9/(SUMPRODUCT($E$6:$N$6,$E$9:$N$9))</f>
        <v>#DIV/0!</v>
      </c>
      <c r="V56" s="29" t="e" cm="1">
        <f t="array" ref="V56">$AC56*H$6*H$9/(SUMPRODUCT($E$6:$N$6,$E$9:$N$9))</f>
        <v>#DIV/0!</v>
      </c>
      <c r="W56" s="29" t="e" cm="1">
        <f t="array" ref="W56">$AC56*I$6*I$9/(SUMPRODUCT($E$6:$N$6,$E$9:$N$9))</f>
        <v>#DIV/0!</v>
      </c>
      <c r="X56" s="29" t="e" cm="1">
        <f t="array" ref="X56">$AC56*J$6*J$9/(SUMPRODUCT($E$6:$N$6,$E$9:$N$9))</f>
        <v>#DIV/0!</v>
      </c>
      <c r="Y56" s="29" t="e" cm="1">
        <f t="array" ref="Y56">$AC56*K$6*K$9/(SUMPRODUCT($E$6:$N$6,$E$9:$N$9))</f>
        <v>#DIV/0!</v>
      </c>
      <c r="Z56" s="29" t="e" cm="1">
        <f t="array" ref="Z56">$AC56*L$6*L$9/(SUMPRODUCT($E$6:$N$6,$E$9:$N$9))</f>
        <v>#DIV/0!</v>
      </c>
      <c r="AA56" s="29" t="e" cm="1">
        <f t="array" ref="AA56">$AC56*M$6*M$9/(SUMPRODUCT($E$6:$N$6,$E$9:$N$9))</f>
        <v>#DIV/0!</v>
      </c>
      <c r="AB56" s="29" t="e" cm="1">
        <f t="array" ref="AB56">$AC56*N$6*N$9/(SUMPRODUCT($E$6:$N$6,$E$9:$N$9))</f>
        <v>#DIV/0!</v>
      </c>
      <c r="AC56" s="29">
        <f>AC39*$E$34/12*$E$26</f>
        <v>0</v>
      </c>
      <c r="AD56" s="27" t="e">
        <f t="shared" si="55"/>
        <v>#DIV/0!</v>
      </c>
      <c r="AG56" s="28" t="s">
        <v>16</v>
      </c>
      <c r="AH56" s="1" t="s">
        <v>106</v>
      </c>
      <c r="AI56" s="35"/>
      <c r="AJ56" s="29" t="str">
        <f t="shared" ref="AJ56:AU56" si="70">IFERROR(AJ39*$E$34/12*$E$26,"")</f>
        <v/>
      </c>
      <c r="AK56" s="29" t="str">
        <f t="shared" si="70"/>
        <v/>
      </c>
      <c r="AL56" s="29" t="str">
        <f t="shared" si="70"/>
        <v/>
      </c>
      <c r="AM56" s="29" t="str">
        <f t="shared" si="70"/>
        <v/>
      </c>
      <c r="AN56" s="29" t="str">
        <f t="shared" si="70"/>
        <v/>
      </c>
      <c r="AO56" s="29" t="str">
        <f t="shared" si="70"/>
        <v/>
      </c>
      <c r="AP56" s="29" t="str">
        <f t="shared" si="70"/>
        <v/>
      </c>
      <c r="AQ56" s="29" t="str">
        <f t="shared" si="70"/>
        <v/>
      </c>
      <c r="AR56" s="29" t="str">
        <f t="shared" si="70"/>
        <v/>
      </c>
      <c r="AS56" s="29" t="str">
        <f t="shared" si="70"/>
        <v/>
      </c>
      <c r="AT56" s="29" t="str">
        <f t="shared" si="70"/>
        <v/>
      </c>
      <c r="AU56" s="29" t="str">
        <f t="shared" si="70"/>
        <v/>
      </c>
    </row>
    <row r="57" spans="16:47">
      <c r="Q57" s="64"/>
      <c r="R57" s="35" t="s">
        <v>109</v>
      </c>
      <c r="S57" s="29" t="e" cm="1">
        <f t="array" ref="S57">$AC57*E$6*E$9/(SUMPRODUCT($E$6:$N$6,$E$9:$N$9))</f>
        <v>#DIV/0!</v>
      </c>
      <c r="T57" s="29" t="e" cm="1">
        <f t="array" ref="T57">$AC57*F$6*F$9/(SUMPRODUCT($E$6:$N$6,$E$9:$N$9))</f>
        <v>#DIV/0!</v>
      </c>
      <c r="U57" s="29" t="e" cm="1">
        <f t="array" ref="U57">$AC57*G$6*G$9/(SUMPRODUCT($E$6:$N$6,$E$9:$N$9))</f>
        <v>#DIV/0!</v>
      </c>
      <c r="V57" s="29" t="e" cm="1">
        <f t="array" ref="V57">$AC57*H$6*H$9/(SUMPRODUCT($E$6:$N$6,$E$9:$N$9))</f>
        <v>#DIV/0!</v>
      </c>
      <c r="W57" s="29" t="e" cm="1">
        <f t="array" ref="W57">$AC57*I$6*I$9/(SUMPRODUCT($E$6:$N$6,$E$9:$N$9))</f>
        <v>#DIV/0!</v>
      </c>
      <c r="X57" s="29" t="e" cm="1">
        <f t="array" ref="X57">$AC57*J$6*J$9/(SUMPRODUCT($E$6:$N$6,$E$9:$N$9))</f>
        <v>#DIV/0!</v>
      </c>
      <c r="Y57" s="29" t="e" cm="1">
        <f t="array" ref="Y57">$AC57*K$6*K$9/(SUMPRODUCT($E$6:$N$6,$E$9:$N$9))</f>
        <v>#DIV/0!</v>
      </c>
      <c r="Z57" s="29" t="e" cm="1">
        <f t="array" ref="Z57">$AC57*L$6*L$9/(SUMPRODUCT($E$6:$N$6,$E$9:$N$9))</f>
        <v>#DIV/0!</v>
      </c>
      <c r="AA57" s="29" t="e" cm="1">
        <f t="array" ref="AA57">$AC57*M$6*M$9/(SUMPRODUCT($E$6:$N$6,$E$9:$N$9))</f>
        <v>#DIV/0!</v>
      </c>
      <c r="AB57" s="29" t="e" cm="1">
        <f t="array" ref="AB57">$AC57*N$6*N$9/(SUMPRODUCT($E$6:$N$6,$E$9:$N$9))</f>
        <v>#DIV/0!</v>
      </c>
      <c r="AC57" s="29" t="e">
        <f>($E$4*$E$13*12/$E$10+SUM(AC42:AC55))*$E$35/12*$E$27</f>
        <v>#DIV/0!</v>
      </c>
      <c r="AD57" s="27" t="e">
        <f t="shared" si="55"/>
        <v>#DIV/0!</v>
      </c>
      <c r="AG57" s="28"/>
      <c r="AH57" s="1" t="s">
        <v>109</v>
      </c>
      <c r="AI57" s="35"/>
      <c r="AJ57" s="29" t="str">
        <f t="shared" ref="AJ57:AU57" si="71">IF($E$3="纯租赁",IF(AJ38*12&lt;=$E$12,SUM(AJ41:AJ55)*$E$35/12*$E$27,""),IF(AJ38*12&lt;=$E$28,SUM(AJ41:AJ55)*$E$35/12*$E$27,""))</f>
        <v/>
      </c>
      <c r="AK57" s="29" t="str">
        <f t="shared" si="71"/>
        <v/>
      </c>
      <c r="AL57" s="29" t="str">
        <f t="shared" si="71"/>
        <v/>
      </c>
      <c r="AM57" s="29" t="str">
        <f t="shared" si="71"/>
        <v/>
      </c>
      <c r="AN57" s="29" t="str">
        <f t="shared" si="71"/>
        <v/>
      </c>
      <c r="AO57" s="29" t="str">
        <f t="shared" si="71"/>
        <v/>
      </c>
      <c r="AP57" s="29" t="str">
        <f t="shared" si="71"/>
        <v/>
      </c>
      <c r="AQ57" s="29" t="str">
        <f t="shared" si="71"/>
        <v/>
      </c>
      <c r="AR57" s="29" t="str">
        <f t="shared" si="71"/>
        <v/>
      </c>
      <c r="AS57" s="29" t="str">
        <f t="shared" si="71"/>
        <v/>
      </c>
      <c r="AT57" s="29" t="str">
        <f t="shared" si="71"/>
        <v/>
      </c>
      <c r="AU57" s="29" t="str">
        <f t="shared" si="71"/>
        <v/>
      </c>
    </row>
    <row r="58" spans="16:47">
      <c r="Q58" s="53" t="s">
        <v>17</v>
      </c>
      <c r="R58" s="65" t="s">
        <v>112</v>
      </c>
      <c r="S58" s="55" t="e" cm="1">
        <f t="array" ref="S58">$AC58*E$6*E$9/(SUMPRODUCT($E$6:$N$6,$E$9:$N$9))</f>
        <v>#DIV/0!</v>
      </c>
      <c r="T58" s="55" t="e" cm="1">
        <f t="array" ref="T58">$AC58*F$6*F$9/(SUMPRODUCT($E$6:$N$6,$E$9:$N$9))</f>
        <v>#DIV/0!</v>
      </c>
      <c r="U58" s="55" t="e" cm="1">
        <f t="array" ref="U58">$AC58*G$6*G$9/(SUMPRODUCT($E$6:$N$6,$E$9:$N$9))</f>
        <v>#DIV/0!</v>
      </c>
      <c r="V58" s="55" t="e" cm="1">
        <f t="array" ref="V58">$AC58*H$6*H$9/(SUMPRODUCT($E$6:$N$6,$E$9:$N$9))</f>
        <v>#DIV/0!</v>
      </c>
      <c r="W58" s="55" t="e" cm="1">
        <f t="array" ref="W58">$AC58*I$6*I$9/(SUMPRODUCT($E$6:$N$6,$E$9:$N$9))</f>
        <v>#DIV/0!</v>
      </c>
      <c r="X58" s="55" t="e" cm="1">
        <f t="array" ref="X58">$AC58*J$6*J$9/(SUMPRODUCT($E$6:$N$6,$E$9:$N$9))</f>
        <v>#DIV/0!</v>
      </c>
      <c r="Y58" s="55" t="e" cm="1">
        <f t="array" ref="Y58">$AC58*K$6*K$9/(SUMPRODUCT($E$6:$N$6,$E$9:$N$9))</f>
        <v>#DIV/0!</v>
      </c>
      <c r="Z58" s="55" t="e" cm="1">
        <f t="array" ref="Z58">$AC58*L$6*L$9/(SUMPRODUCT($E$6:$N$6,$E$9:$N$9))</f>
        <v>#DIV/0!</v>
      </c>
      <c r="AA58" s="55" t="e" cm="1">
        <f t="array" ref="AA58">$AC58*M$6*M$9/(SUMPRODUCT($E$6:$N$6,$E$9:$N$9))</f>
        <v>#DIV/0!</v>
      </c>
      <c r="AB58" s="55" t="e" cm="1">
        <f t="array" ref="AB58">$AC58*N$6*N$9/(SUMPRODUCT($E$6:$N$6,$E$9:$N$9))</f>
        <v>#DIV/0!</v>
      </c>
      <c r="AC58" s="55">
        <f>AC39*0.09/1.09</f>
        <v>0</v>
      </c>
      <c r="AD58" s="102" t="e">
        <f>AC60/AC61</f>
        <v>#DIV/0!</v>
      </c>
      <c r="AG58" s="53" t="s">
        <v>17</v>
      </c>
      <c r="AH58" s="54" t="s">
        <v>112</v>
      </c>
      <c r="AI58" s="65"/>
      <c r="AJ58" s="55" t="str">
        <f t="shared" ref="AJ58:AU58" si="72">IFERROR(AJ39*0.09/1.09,"")</f>
        <v/>
      </c>
      <c r="AK58" s="55" t="str">
        <f t="shared" si="72"/>
        <v/>
      </c>
      <c r="AL58" s="55" t="str">
        <f t="shared" si="72"/>
        <v/>
      </c>
      <c r="AM58" s="55" t="str">
        <f t="shared" si="72"/>
        <v/>
      </c>
      <c r="AN58" s="55" t="str">
        <f t="shared" si="72"/>
        <v/>
      </c>
      <c r="AO58" s="55" t="str">
        <f t="shared" si="72"/>
        <v/>
      </c>
      <c r="AP58" s="55" t="str">
        <f t="shared" si="72"/>
        <v/>
      </c>
      <c r="AQ58" s="55" t="str">
        <f t="shared" si="72"/>
        <v/>
      </c>
      <c r="AR58" s="55" t="str">
        <f t="shared" si="72"/>
        <v/>
      </c>
      <c r="AS58" s="55" t="str">
        <f t="shared" si="72"/>
        <v/>
      </c>
      <c r="AT58" s="55" t="str">
        <f t="shared" si="72"/>
        <v/>
      </c>
      <c r="AU58" s="55" t="str">
        <f t="shared" si="72"/>
        <v/>
      </c>
    </row>
    <row r="59" spans="16:47">
      <c r="Q59" s="64"/>
      <c r="R59" s="66" t="s">
        <v>115</v>
      </c>
      <c r="S59" s="57" t="e" cm="1">
        <f t="array" ref="S59">$AC59*E$6*E$9/(SUMPRODUCT($E$6:$N$6,$E$9:$N$9))</f>
        <v>#DIV/0!</v>
      </c>
      <c r="T59" s="57" t="e" cm="1">
        <f t="array" ref="T59">$AC59*F$6*F$9/(SUMPRODUCT($E$6:$N$6,$E$9:$N$9))</f>
        <v>#DIV/0!</v>
      </c>
      <c r="U59" s="57" t="e" cm="1">
        <f t="array" ref="U59">$AC59*G$6*G$9/(SUMPRODUCT($E$6:$N$6,$E$9:$N$9))</f>
        <v>#DIV/0!</v>
      </c>
      <c r="V59" s="57" t="e" cm="1">
        <f t="array" ref="V59">$AC59*H$6*H$9/(SUMPRODUCT($E$6:$N$6,$E$9:$N$9))</f>
        <v>#DIV/0!</v>
      </c>
      <c r="W59" s="57" t="e" cm="1">
        <f t="array" ref="W59">$AC59*I$6*I$9/(SUMPRODUCT($E$6:$N$6,$E$9:$N$9))</f>
        <v>#DIV/0!</v>
      </c>
      <c r="X59" s="57" t="e" cm="1">
        <f t="array" ref="X59">$AC59*J$6*J$9/(SUMPRODUCT($E$6:$N$6,$E$9:$N$9))</f>
        <v>#DIV/0!</v>
      </c>
      <c r="Y59" s="57" t="e" cm="1">
        <f t="array" ref="Y59">$AC59*K$6*K$9/(SUMPRODUCT($E$6:$N$6,$E$9:$N$9))</f>
        <v>#DIV/0!</v>
      </c>
      <c r="Z59" s="57" t="e" cm="1">
        <f t="array" ref="Z59">$AC59*L$6*L$9/(SUMPRODUCT($E$6:$N$6,$E$9:$N$9))</f>
        <v>#DIV/0!</v>
      </c>
      <c r="AA59" s="57" t="e" cm="1">
        <f t="array" ref="AA59">$AC59*M$6*M$9/(SUMPRODUCT($E$6:$N$6,$E$9:$N$9))</f>
        <v>#DIV/0!</v>
      </c>
      <c r="AB59" s="57" t="e" cm="1">
        <f t="array" ref="AB59">$AC59*N$6*N$9/(SUMPRODUCT($E$6:$N$6,$E$9:$N$9))</f>
        <v>#DIV/0!</v>
      </c>
      <c r="AC59" s="57" t="e">
        <f>(AC41+AC54+AC55)*0.13/1.13+AC46*0.06/1.06</f>
        <v>#DIV/0!</v>
      </c>
      <c r="AD59" s="103"/>
      <c r="AG59" s="28"/>
      <c r="AH59" s="56" t="s">
        <v>115</v>
      </c>
      <c r="AI59" s="57">
        <f>AI40*0.13/1.13</f>
        <v>0</v>
      </c>
      <c r="AJ59" s="57" t="str">
        <f t="shared" ref="AJ59:AU59" si="73">IFERROR((AJ41+AJ54+AJ55)*0.13/1.13+AJ46*0.06/1.06,"")</f>
        <v/>
      </c>
      <c r="AK59" s="57" t="str">
        <f t="shared" si="73"/>
        <v/>
      </c>
      <c r="AL59" s="57" t="str">
        <f t="shared" si="73"/>
        <v/>
      </c>
      <c r="AM59" s="57" t="str">
        <f t="shared" si="73"/>
        <v/>
      </c>
      <c r="AN59" s="57" t="str">
        <f t="shared" si="73"/>
        <v/>
      </c>
      <c r="AO59" s="57" t="str">
        <f t="shared" si="73"/>
        <v/>
      </c>
      <c r="AP59" s="57" t="str">
        <f t="shared" si="73"/>
        <v/>
      </c>
      <c r="AQ59" s="57" t="str">
        <f t="shared" si="73"/>
        <v/>
      </c>
      <c r="AR59" s="57" t="str">
        <f t="shared" si="73"/>
        <v/>
      </c>
      <c r="AS59" s="57" t="str">
        <f t="shared" si="73"/>
        <v/>
      </c>
      <c r="AT59" s="57" t="str">
        <f t="shared" si="73"/>
        <v/>
      </c>
      <c r="AU59" s="57" t="str">
        <f t="shared" si="73"/>
        <v/>
      </c>
    </row>
    <row r="60" spans="16:47">
      <c r="Q60" s="22"/>
      <c r="R60" s="23" t="s">
        <v>118</v>
      </c>
      <c r="S60" s="24" t="e">
        <f t="shared" ref="S60:AC60" si="74">MAX(0,S58-S59)</f>
        <v>#DIV/0!</v>
      </c>
      <c r="T60" s="24" t="e">
        <f t="shared" si="74"/>
        <v>#DIV/0!</v>
      </c>
      <c r="U60" s="24" t="e">
        <f t="shared" si="74"/>
        <v>#DIV/0!</v>
      </c>
      <c r="V60" s="24" t="e">
        <f t="shared" si="74"/>
        <v>#DIV/0!</v>
      </c>
      <c r="W60" s="24" t="e">
        <f t="shared" si="74"/>
        <v>#DIV/0!</v>
      </c>
      <c r="X60" s="24" t="e">
        <f t="shared" si="74"/>
        <v>#DIV/0!</v>
      </c>
      <c r="Y60" s="24" t="e">
        <f t="shared" si="74"/>
        <v>#DIV/0!</v>
      </c>
      <c r="Z60" s="24" t="e">
        <f t="shared" si="74"/>
        <v>#DIV/0!</v>
      </c>
      <c r="AA60" s="24" t="e">
        <f t="shared" si="74"/>
        <v>#DIV/0!</v>
      </c>
      <c r="AB60" s="24" t="e">
        <f t="shared" si="74"/>
        <v>#DIV/0!</v>
      </c>
      <c r="AC60" s="24" t="e">
        <f t="shared" si="74"/>
        <v>#DIV/0!</v>
      </c>
      <c r="AD60" s="104"/>
      <c r="AG60" s="22"/>
      <c r="AH60" s="50" t="s">
        <v>118</v>
      </c>
      <c r="AI60" s="24">
        <f>AI58-AI59</f>
        <v>0</v>
      </c>
      <c r="AJ60" s="24" t="str">
        <f t="shared" ref="AJ60:AU60" si="75">IFERROR(MAX(0,AJ58-AJ59),"")</f>
        <v/>
      </c>
      <c r="AK60" s="24" t="str">
        <f t="shared" si="75"/>
        <v/>
      </c>
      <c r="AL60" s="24" t="str">
        <f t="shared" si="75"/>
        <v/>
      </c>
      <c r="AM60" s="24" t="str">
        <f t="shared" si="75"/>
        <v/>
      </c>
      <c r="AN60" s="24" t="str">
        <f t="shared" si="75"/>
        <v/>
      </c>
      <c r="AO60" s="24" t="str">
        <f t="shared" si="75"/>
        <v/>
      </c>
      <c r="AP60" s="24" t="str">
        <f t="shared" si="75"/>
        <v/>
      </c>
      <c r="AQ60" s="24" t="str">
        <f t="shared" si="75"/>
        <v/>
      </c>
      <c r="AR60" s="24" t="str">
        <f t="shared" si="75"/>
        <v/>
      </c>
      <c r="AS60" s="24" t="str">
        <f t="shared" si="75"/>
        <v/>
      </c>
      <c r="AT60" s="24" t="str">
        <f t="shared" si="75"/>
        <v/>
      </c>
      <c r="AU60" s="24" t="str">
        <f t="shared" si="75"/>
        <v/>
      </c>
    </row>
    <row r="61" ht="16.5" spans="16:47">
      <c r="Q61" s="44" t="s">
        <v>138</v>
      </c>
      <c r="R61" s="44"/>
      <c r="S61" s="76" t="e">
        <f t="shared" ref="S61:AB61" si="76">SUM(S41:S57)+S60</f>
        <v>#DIV/0!</v>
      </c>
      <c r="T61" s="76" t="e">
        <f t="shared" si="76"/>
        <v>#DIV/0!</v>
      </c>
      <c r="U61" s="76" t="e">
        <f t="shared" si="76"/>
        <v>#DIV/0!</v>
      </c>
      <c r="V61" s="76" t="e">
        <f t="shared" si="76"/>
        <v>#DIV/0!</v>
      </c>
      <c r="W61" s="76" t="e">
        <f t="shared" si="76"/>
        <v>#DIV/0!</v>
      </c>
      <c r="X61" s="76" t="e">
        <f t="shared" si="76"/>
        <v>#DIV/0!</v>
      </c>
      <c r="Y61" s="76" t="e">
        <f t="shared" si="76"/>
        <v>#DIV/0!</v>
      </c>
      <c r="Z61" s="76" t="e">
        <f t="shared" si="76"/>
        <v>#DIV/0!</v>
      </c>
      <c r="AA61" s="76" t="e">
        <f t="shared" si="76"/>
        <v>#DIV/0!</v>
      </c>
      <c r="AB61" s="76" t="e">
        <f t="shared" si="76"/>
        <v>#DIV/0!</v>
      </c>
      <c r="AC61" s="77" t="e">
        <f>SUM(AC41:AC57)+MAX(0,AC58-AC59)</f>
        <v>#DIV/0!</v>
      </c>
      <c r="AD61" s="77"/>
      <c r="AG61" s="48" t="s">
        <v>121</v>
      </c>
      <c r="AH61" s="48"/>
      <c r="AI61" s="58">
        <f>-AI40+AI60</f>
        <v>0</v>
      </c>
      <c r="AJ61" s="58" t="str">
        <f t="shared" ref="AJ61:AU61" si="77">IFERROR(AJ39-SUM(AJ41:AJ57)-AJ60,"")</f>
        <v/>
      </c>
      <c r="AK61" s="58" t="str">
        <f t="shared" si="77"/>
        <v/>
      </c>
      <c r="AL61" s="58" t="str">
        <f t="shared" si="77"/>
        <v/>
      </c>
      <c r="AM61" s="58" t="str">
        <f t="shared" si="77"/>
        <v/>
      </c>
      <c r="AN61" s="58" t="str">
        <f t="shared" si="77"/>
        <v/>
      </c>
      <c r="AO61" s="58" t="str">
        <f t="shared" si="77"/>
        <v/>
      </c>
      <c r="AP61" s="58" t="str">
        <f t="shared" si="77"/>
        <v/>
      </c>
      <c r="AQ61" s="58" t="str">
        <f t="shared" si="77"/>
        <v/>
      </c>
      <c r="AR61" s="58" t="str">
        <f t="shared" si="77"/>
        <v/>
      </c>
      <c r="AS61" s="58" t="str">
        <f t="shared" si="77"/>
        <v/>
      </c>
      <c r="AT61" s="58" t="str">
        <f t="shared" si="77"/>
        <v/>
      </c>
      <c r="AU61" s="58" t="str">
        <f t="shared" si="77"/>
        <v/>
      </c>
    </row>
    <row r="62" ht="16.5" spans="16:47">
      <c r="Q62" s="69" t="s">
        <v>140</v>
      </c>
      <c r="R62" s="69"/>
      <c r="S62" s="58" t="e">
        <f t="shared" ref="S62:AB62" si="78">S40-S61</f>
        <v>#DIV/0!</v>
      </c>
      <c r="T62" s="58" t="e">
        <f t="shared" si="78"/>
        <v>#DIV/0!</v>
      </c>
      <c r="U62" s="58" t="e">
        <f t="shared" si="78"/>
        <v>#DIV/0!</v>
      </c>
      <c r="V62" s="58" t="e">
        <f t="shared" si="78"/>
        <v>#DIV/0!</v>
      </c>
      <c r="W62" s="58" t="e">
        <f t="shared" si="78"/>
        <v>#DIV/0!</v>
      </c>
      <c r="X62" s="58" t="e">
        <f t="shared" si="78"/>
        <v>#DIV/0!</v>
      </c>
      <c r="Y62" s="58" t="e">
        <f t="shared" si="78"/>
        <v>#DIV/0!</v>
      </c>
      <c r="Z62" s="58" t="e">
        <f t="shared" si="78"/>
        <v>#DIV/0!</v>
      </c>
      <c r="AA62" s="58" t="e">
        <f t="shared" si="78"/>
        <v>#DIV/0!</v>
      </c>
      <c r="AB62" s="58" t="e">
        <f t="shared" si="78"/>
        <v>#DIV/0!</v>
      </c>
      <c r="AC62" s="86" t="e">
        <f>AC39-AC61</f>
        <v>#DIV/0!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 t="str">
        <f>IF($E$3="纯租赁",IF(AJ38*12&lt;=$E$12,SUM($AI$61:AJ61),""),IF(AJ38*12&lt;=$E$28,SUM($AI$61:AJ61),""))</f>
        <v/>
      </c>
      <c r="AK62" s="58" t="str">
        <f>IF($E$3="纯租赁",IF(AK38*12&lt;=$E$12,SUM($AI$61:AK61),""),IF(AK38*12&lt;=$E$28,SUM($AI$61:AK61),""))</f>
        <v/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79">IF($E$3="纯租赁",S68+1,S68+1)</f>
        <v>2</v>
      </c>
      <c r="U68" s="87">
        <f t="shared" si="79"/>
        <v>3</v>
      </c>
      <c r="V68" s="87">
        <f t="shared" si="79"/>
        <v>4</v>
      </c>
      <c r="W68" s="87">
        <f t="shared" si="79"/>
        <v>5</v>
      </c>
      <c r="X68" s="87">
        <f t="shared" si="79"/>
        <v>6</v>
      </c>
      <c r="Y68" s="87">
        <f t="shared" si="79"/>
        <v>7</v>
      </c>
      <c r="Z68" s="87">
        <f t="shared" si="79"/>
        <v>8</v>
      </c>
      <c r="AA68" s="87">
        <f t="shared" si="79"/>
        <v>9</v>
      </c>
      <c r="AB68" s="87">
        <f t="shared" si="79"/>
        <v>10</v>
      </c>
      <c r="AC68" s="87">
        <f t="shared" si="79"/>
        <v>11</v>
      </c>
      <c r="AD68" s="87">
        <f t="shared" si="79"/>
        <v>12</v>
      </c>
    </row>
    <row r="69" spans="17:35">
      <c r="Q69" s="64" t="s">
        <v>13</v>
      </c>
      <c r="R69" s="35" t="s">
        <v>49</v>
      </c>
      <c r="S69" s="29" t="str" cm="1">
        <f t="array" ref="S69">IF($E$3="纯租赁",IF(S68*12&lt;=$E$12,$E$4*SUMPRODUCT($E$7:$N$7,$E$8:$N$8,$E$9:$N$9)*$E$10,""),$E$4*SUMPRODUCT($E$7:$N$7,$E$8:$N$8,$E$9:$N$9)*$E$10)</f>
        <v/>
      </c>
      <c r="T69" s="29" t="str" cm="1">
        <f t="array" ref="T69">IF($E$3="纯租赁",IF(T68*12&lt;=$E$12,$E$4*SUMPRODUCT($E$7:$N$7,$E$8:$N$8,$E$9:$N$9)*$E$10,""),$E$4*SUMPRODUCT($E$7:$N$7,$E$8:$N$8,$E$9:$N$9)*$E$10)</f>
        <v/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 t="str">
        <f t="shared" ref="S70:AD70" si="80">S69</f>
        <v/>
      </c>
      <c r="T70" s="76" t="str">
        <f t="shared" si="80"/>
        <v/>
      </c>
      <c r="U70" s="76" t="str">
        <f t="shared" si="80"/>
        <v/>
      </c>
      <c r="V70" s="76" t="str">
        <f t="shared" si="80"/>
        <v/>
      </c>
      <c r="W70" s="76" t="str">
        <f t="shared" si="80"/>
        <v/>
      </c>
      <c r="X70" s="76" t="str">
        <f t="shared" si="80"/>
        <v/>
      </c>
      <c r="Y70" s="76" t="str">
        <f t="shared" si="80"/>
        <v/>
      </c>
      <c r="Z70" s="76" t="str">
        <f t="shared" si="80"/>
        <v/>
      </c>
      <c r="AA70" s="76" t="str">
        <f t="shared" si="80"/>
        <v/>
      </c>
      <c r="AB70" s="76" t="str">
        <f t="shared" si="80"/>
        <v/>
      </c>
      <c r="AC70" s="76" t="str">
        <f t="shared" si="80"/>
        <v/>
      </c>
      <c r="AD70" s="76" t="str">
        <f t="shared" si="80"/>
        <v/>
      </c>
    </row>
    <row r="71" spans="17:35">
      <c r="Q71" s="28" t="s">
        <v>14</v>
      </c>
      <c r="R71" s="35" t="s">
        <v>79</v>
      </c>
      <c r="S71" s="29" t="str">
        <f>_xlfn.LET(_xlpm.a,$E$4*$E$13,_xlpm.b,$E$4*($E$11/MAX(36,S68*12)+$E$13),IF($E$3="纯租赁",IF(S68*12&lt;=$E$12,_xlpm.a*12,""),_xlpm.b*12))</f>
        <v/>
      </c>
      <c r="T71" s="29" t="str">
        <f>_xlfn.LET(_xlpm.a,$E$4*$E$13,_xlpm.b,$E$4*($E$11/MAX(36,T68*12)+$E$13),IF($E$3="纯租赁",IF(T68*12&lt;=$E$12,_xlpm.a*12,""),_xlpm.b*12))</f>
        <v/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 t="str">
        <f t="shared" ref="S72:AD72" si="81">IF($E$3="纯租赁",IF(S68*12&lt;=$E$12,$E$14*$E$4*12,""),$E$14*$E$4*12)</f>
        <v/>
      </c>
      <c r="T72" s="29" t="str">
        <f t="shared" si="81"/>
        <v/>
      </c>
      <c r="U72" s="29" t="str">
        <f t="shared" si="81"/>
        <v/>
      </c>
      <c r="V72" s="29" t="str">
        <f t="shared" si="81"/>
        <v/>
      </c>
      <c r="W72" s="29" t="str">
        <f t="shared" si="81"/>
        <v/>
      </c>
      <c r="X72" s="29" t="str">
        <f t="shared" si="81"/>
        <v/>
      </c>
      <c r="Y72" s="29" t="str">
        <f t="shared" si="81"/>
        <v/>
      </c>
      <c r="Z72" s="29" t="str">
        <f t="shared" si="81"/>
        <v/>
      </c>
      <c r="AA72" s="29" t="str">
        <f t="shared" si="81"/>
        <v/>
      </c>
      <c r="AB72" s="29" t="str">
        <f t="shared" si="81"/>
        <v/>
      </c>
      <c r="AC72" s="29" t="str">
        <f t="shared" si="81"/>
        <v/>
      </c>
      <c r="AD72" s="29" t="str">
        <f t="shared" si="81"/>
        <v/>
      </c>
    </row>
    <row r="73" spans="17:35">
      <c r="Q73" s="28"/>
      <c r="R73" s="35" t="s">
        <v>64</v>
      </c>
      <c r="S73" s="29" t="str">
        <f t="shared" ref="S73:AD73" si="82">IF($E$3="纯租赁",IF(S68*12&lt;=$E$12,$E$4*$E$15*12,""),$E$4*$E$15*12)</f>
        <v/>
      </c>
      <c r="T73" s="29" t="str">
        <f t="shared" si="82"/>
        <v/>
      </c>
      <c r="U73" s="29" t="str">
        <f t="shared" si="82"/>
        <v/>
      </c>
      <c r="V73" s="29" t="str">
        <f t="shared" si="82"/>
        <v/>
      </c>
      <c r="W73" s="29" t="str">
        <f t="shared" si="82"/>
        <v/>
      </c>
      <c r="X73" s="29" t="str">
        <f t="shared" si="82"/>
        <v/>
      </c>
      <c r="Y73" s="29" t="str">
        <f t="shared" si="82"/>
        <v/>
      </c>
      <c r="Z73" s="29" t="str">
        <f t="shared" si="82"/>
        <v/>
      </c>
      <c r="AA73" s="29" t="str">
        <f t="shared" si="82"/>
        <v/>
      </c>
      <c r="AB73" s="29" t="str">
        <f t="shared" si="82"/>
        <v/>
      </c>
      <c r="AC73" s="29" t="str">
        <f t="shared" si="82"/>
        <v/>
      </c>
      <c r="AD73" s="29" t="str">
        <f t="shared" si="82"/>
        <v/>
      </c>
    </row>
    <row r="74" spans="17:35">
      <c r="Q74" s="28"/>
      <c r="R74" s="35" t="s">
        <v>68</v>
      </c>
      <c r="S74" s="29" t="str">
        <f t="shared" ref="S74:AD74" si="83">IF($E$3="纯租赁",IF(S68*12&lt;=$E$12,$E$4*$E$16*12,""),$E$4*$E$16*12)</f>
        <v/>
      </c>
      <c r="T74" s="29" t="str">
        <f t="shared" si="83"/>
        <v/>
      </c>
      <c r="U74" s="29" t="str">
        <f t="shared" si="83"/>
        <v/>
      </c>
      <c r="V74" s="29" t="str">
        <f t="shared" si="83"/>
        <v/>
      </c>
      <c r="W74" s="29" t="str">
        <f t="shared" si="83"/>
        <v/>
      </c>
      <c r="X74" s="29" t="str">
        <f t="shared" si="83"/>
        <v/>
      </c>
      <c r="Y74" s="29" t="str">
        <f t="shared" si="83"/>
        <v/>
      </c>
      <c r="Z74" s="29" t="str">
        <f t="shared" si="83"/>
        <v/>
      </c>
      <c r="AA74" s="29" t="str">
        <f t="shared" si="83"/>
        <v/>
      </c>
      <c r="AB74" s="29" t="str">
        <f t="shared" si="83"/>
        <v/>
      </c>
      <c r="AC74" s="29" t="str">
        <f t="shared" si="83"/>
        <v/>
      </c>
      <c r="AD74" s="29" t="str">
        <f t="shared" si="83"/>
        <v/>
      </c>
    </row>
    <row r="75" spans="17:35">
      <c r="Q75" s="28"/>
      <c r="R75" s="35" t="s">
        <v>71</v>
      </c>
      <c r="S75" s="29" t="str">
        <f t="shared" ref="S75:AD75" si="84">IF($E$3="纯租赁",IF(S68*12&lt;=$E$12,$E$4*$E$17*12,""),$E$4*$E$17*12)</f>
        <v/>
      </c>
      <c r="T75" s="29" t="str">
        <f t="shared" si="84"/>
        <v/>
      </c>
      <c r="U75" s="29" t="str">
        <f t="shared" si="84"/>
        <v/>
      </c>
      <c r="V75" s="29" t="str">
        <f t="shared" si="84"/>
        <v/>
      </c>
      <c r="W75" s="29" t="str">
        <f t="shared" si="84"/>
        <v/>
      </c>
      <c r="X75" s="29" t="str">
        <f t="shared" si="84"/>
        <v/>
      </c>
      <c r="Y75" s="29" t="str">
        <f t="shared" si="84"/>
        <v/>
      </c>
      <c r="Z75" s="29" t="str">
        <f t="shared" si="84"/>
        <v/>
      </c>
      <c r="AA75" s="29" t="str">
        <f t="shared" si="84"/>
        <v/>
      </c>
      <c r="AB75" s="29" t="str">
        <f t="shared" si="84"/>
        <v/>
      </c>
      <c r="AC75" s="29" t="str">
        <f t="shared" si="84"/>
        <v/>
      </c>
      <c r="AD75" s="29" t="str">
        <f t="shared" si="84"/>
        <v/>
      </c>
    </row>
    <row r="76" spans="17:35">
      <c r="Q76" s="28"/>
      <c r="R76" s="35" t="s">
        <v>74</v>
      </c>
      <c r="S76" s="29" t="str">
        <f t="shared" ref="S76:AD76" si="85">IF($E$3="纯租赁",IF(S68*12&lt;=$E$12,$E$4*$E$18*12,""),$E$4*$E$18*12)</f>
        <v/>
      </c>
      <c r="T76" s="29" t="str">
        <f t="shared" si="85"/>
        <v/>
      </c>
      <c r="U76" s="29" t="str">
        <f t="shared" si="85"/>
        <v/>
      </c>
      <c r="V76" s="29" t="str">
        <f t="shared" si="85"/>
        <v/>
      </c>
      <c r="W76" s="29" t="str">
        <f t="shared" si="85"/>
        <v/>
      </c>
      <c r="X76" s="29" t="str">
        <f t="shared" si="85"/>
        <v/>
      </c>
      <c r="Y76" s="29" t="str">
        <f t="shared" si="85"/>
        <v/>
      </c>
      <c r="Z76" s="29" t="str">
        <f t="shared" si="85"/>
        <v/>
      </c>
      <c r="AA76" s="29" t="str">
        <f t="shared" si="85"/>
        <v/>
      </c>
      <c r="AB76" s="29" t="str">
        <f t="shared" si="85"/>
        <v/>
      </c>
      <c r="AC76" s="29" t="str">
        <f t="shared" si="85"/>
        <v/>
      </c>
      <c r="AD76" s="29" t="str">
        <f t="shared" si="85"/>
        <v/>
      </c>
    </row>
    <row r="77" spans="17:35">
      <c r="Q77" s="28"/>
      <c r="R77" s="35" t="s">
        <v>78</v>
      </c>
      <c r="S77" s="29" t="str">
        <f t="shared" ref="S77:AD77" si="86">IF($E$3="纯租赁",IF(S68*12&lt;=$E$12,$E$4*$E$19*12,""),$E$4*$E$19*12)</f>
        <v/>
      </c>
      <c r="T77" s="29" t="str">
        <f t="shared" si="86"/>
        <v/>
      </c>
      <c r="U77" s="29" t="str">
        <f t="shared" si="86"/>
        <v/>
      </c>
      <c r="V77" s="29" t="str">
        <f t="shared" si="86"/>
        <v/>
      </c>
      <c r="W77" s="29" t="str">
        <f t="shared" si="86"/>
        <v/>
      </c>
      <c r="X77" s="29" t="str">
        <f t="shared" si="86"/>
        <v/>
      </c>
      <c r="Y77" s="29" t="str">
        <f t="shared" si="86"/>
        <v/>
      </c>
      <c r="Z77" s="29" t="str">
        <f t="shared" si="86"/>
        <v/>
      </c>
      <c r="AA77" s="29" t="str">
        <f t="shared" si="86"/>
        <v/>
      </c>
      <c r="AB77" s="29" t="str">
        <f t="shared" si="86"/>
        <v/>
      </c>
      <c r="AC77" s="29" t="str">
        <f t="shared" si="86"/>
        <v/>
      </c>
      <c r="AD77" s="29" t="str">
        <f t="shared" si="86"/>
        <v/>
      </c>
    </row>
    <row r="78" spans="17:35">
      <c r="Q78" s="28"/>
      <c r="R78" s="35" t="s">
        <v>82</v>
      </c>
      <c r="S78" s="29" t="str">
        <f t="shared" ref="S78:AD78" si="87">IF($E$3="纯租赁",IF(S68*12&lt;=$E$12,$E$4*$E$20*12,""),$E$4*$E$20*12)</f>
        <v/>
      </c>
      <c r="T78" s="29" t="str">
        <f t="shared" si="87"/>
        <v/>
      </c>
      <c r="U78" s="29" t="str">
        <f t="shared" si="87"/>
        <v/>
      </c>
      <c r="V78" s="29" t="str">
        <f t="shared" si="87"/>
        <v/>
      </c>
      <c r="W78" s="29" t="str">
        <f t="shared" si="87"/>
        <v/>
      </c>
      <c r="X78" s="29" t="str">
        <f t="shared" si="87"/>
        <v/>
      </c>
      <c r="Y78" s="29" t="str">
        <f t="shared" si="87"/>
        <v/>
      </c>
      <c r="Z78" s="29" t="str">
        <f t="shared" si="87"/>
        <v/>
      </c>
      <c r="AA78" s="29" t="str">
        <f t="shared" si="87"/>
        <v/>
      </c>
      <c r="AB78" s="29" t="str">
        <f t="shared" si="87"/>
        <v/>
      </c>
      <c r="AC78" s="29" t="str">
        <f t="shared" si="87"/>
        <v/>
      </c>
      <c r="AD78" s="29" t="str">
        <f t="shared" si="87"/>
        <v/>
      </c>
    </row>
    <row r="79" spans="17:35">
      <c r="Q79" s="28"/>
      <c r="R79" s="23" t="s">
        <v>85</v>
      </c>
      <c r="S79" s="24" t="str">
        <f t="shared" ref="S79:AD79" si="88">IF($E$3="纯租赁",IF(S68*12&lt;=$E$12,$E$4*$E$21*12,""),$E$4*$E$21*12)</f>
        <v/>
      </c>
      <c r="T79" s="24" t="str">
        <f t="shared" si="88"/>
        <v/>
      </c>
      <c r="U79" s="24" t="str">
        <f t="shared" si="88"/>
        <v/>
      </c>
      <c r="V79" s="24" t="str">
        <f t="shared" si="88"/>
        <v/>
      </c>
      <c r="W79" s="24" t="str">
        <f t="shared" si="88"/>
        <v/>
      </c>
      <c r="X79" s="24" t="str">
        <f t="shared" si="88"/>
        <v/>
      </c>
      <c r="Y79" s="24" t="str">
        <f t="shared" si="88"/>
        <v/>
      </c>
      <c r="Z79" s="24" t="str">
        <f t="shared" si="88"/>
        <v/>
      </c>
      <c r="AA79" s="24" t="str">
        <f t="shared" si="88"/>
        <v/>
      </c>
      <c r="AB79" s="24" t="str">
        <f t="shared" si="88"/>
        <v/>
      </c>
      <c r="AC79" s="24" t="str">
        <f t="shared" si="88"/>
        <v/>
      </c>
      <c r="AD79" s="24" t="str">
        <f t="shared" si="88"/>
        <v/>
      </c>
    </row>
    <row r="80" spans="17:35">
      <c r="Q80" s="53" t="s">
        <v>15</v>
      </c>
      <c r="R80" s="35" t="s">
        <v>88</v>
      </c>
      <c r="S80" s="29" t="str" cm="1">
        <f t="array" ref="S80">IF($E$3="纯租赁",IF(S68*12&lt;=$E$12,$E$4*SUMPRODUCT($E$9:$N$9,$E$22:$N$22)*$E$10,""),$E$4*SUMPRODUCT($E$9:$N$9,$E$22:$N$22)*$E$10)</f>
        <v/>
      </c>
      <c r="T80" s="29" t="str" cm="1">
        <f t="array" ref="T80">IF($E$3="纯租赁",IF(T68*12&lt;=$E$12,$E$4*SUMPRODUCT($E$9:$N$9,$E$22:$N$22)*$E$10,""),$E$4*SUMPRODUCT($E$9:$N$9,$E$22:$N$22)*$E$10)</f>
        <v/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t="str" cm="1">
        <f t="array" ref="S81">IF($E$3="纯租赁",IF(S68*12&lt;=$E$12,$E$4*SUMPRODUCT($E$9:$N$9,$E$23:$N$23)*$E$10,""),$E$4*SUMPRODUCT($E$9:$N$9,$E$23:$N$23)*$E$10)</f>
        <v/>
      </c>
      <c r="T81" s="29" t="str" cm="1">
        <f t="array" ref="T81">IF($E$3="纯租赁",IF(T68*12&lt;=$E$12,$E$4*SUMPRODUCT($E$9:$N$9,$E$23:$N$23)*$E$10,""),$E$4*SUMPRODUCT($E$9:$N$9,$E$23:$N$23)*$E$10)</f>
        <v/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t="str" cm="1">
        <f t="array" ref="S82">IF($E$3="纯租赁",IF(S68*12&lt;=$E$12,$E$4*$E$10*SUMPRODUCT($E$9:$N$9,$E$24:$N$24),""),$E$4*$E$10*SUMPRODUCT($E$9:$N$9,$E$24:$N$24))</f>
        <v/>
      </c>
      <c r="T82" s="29" t="str" cm="1">
        <f t="array" ref="T82">IF($E$3="纯租赁",IF(T68*12&lt;=$E$12,$E$4*$E$10*SUMPRODUCT($E$9:$N$9,$E$24:$N$24),""),$E$4*$E$10*SUMPRODUCT($E$9:$N$9,$E$24:$N$24))</f>
        <v/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t="str" cm="1">
        <f t="array" ref="S83">IF($E$3="纯租赁",IF(S68*12&lt;=$E$12,$E$4*$E$10*SUMPRODUCT($E$25:$N$25,$E$9:$N$9),""),$E$4*$E$10*SUMPRODUCT($E$25:$N$25,$E$9:$N$9))</f>
        <v/>
      </c>
      <c r="T83" s="29" t="str" cm="1">
        <f t="array" ref="T83">IF($E$3="纯租赁",IF(T68*12&lt;=$E$12,$E$4*$E$10*SUMPRODUCT($E$25:$N$25,$E$9:$N$9),""),$E$4*$E$10*SUMPRODUCT($E$25:$N$25,$E$9:$N$9))</f>
        <v/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t="str" cm="1">
        <f t="array" ref="S84">IF($E$3="纯租赁",IF(S68*12&lt;=$E$12,$E$4*$E$5*$E$10*SUMPRODUCT(IF($E$8:$N$8,$E$32,$E$33),$E$6:$N$6,$E$9:$N$9),""),$E$4*$E$5*$E$10*SUMPRODUCT(IF($E$8:$N$8,$E$32,$E$33),$E$6:$N$6,$E$9:$N$9))</f>
        <v/>
      </c>
      <c r="T84" s="29" t="str" cm="1">
        <f t="array" ref="T84">IF($E$3="纯租赁",IF(T68*12&lt;=$E$12,$E$4*$E$5*$E$10*SUMPRODUCT(IF($E$8:$N$8,$E$32,$E$33),$E$6:$N$6,$E$9:$N$9),""),$E$4*$E$5*$E$10*SUMPRODUCT(IF($E$8:$N$8,$E$32,$E$33),$E$6:$N$6,$E$9:$N$9))</f>
        <v/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t="str" cm="1">
        <f t="array" ref="S85">IF($E$3="纯租赁",IF(S68*12&lt;=$E$12,SUMPRODUCT($E$6:$N$6,$E$9:$N$9)*$E$10/$E$29*$E$30*$E$4*$E$31,""),SUMPRODUCT($E$6:$N$6,$E$9:$N$9)*$E$10/$E$29*$E$30*$E$4*$E$31)</f>
        <v/>
      </c>
      <c r="T85" s="24" t="str" cm="1">
        <f t="array" ref="T85">IF($E$3="纯租赁",IF(T68*12&lt;=$E$12,SUMPRODUCT($E$6:$N$6,$E$9:$N$9)*$E$10/$E$29*$E$30*$E$4*$E$31,""),SUMPRODUCT($E$6:$N$6,$E$9:$N$9)*$E$10/$E$29*$E$30*$E$4*$E$31)</f>
        <v/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 t="str">
        <f t="shared" ref="S86:AD86" si="89">IFERROR(S69*$E$34/12*$E$26,"")</f>
        <v/>
      </c>
      <c r="T86" s="29" t="str">
        <f t="shared" si="89"/>
        <v/>
      </c>
      <c r="U86" s="29" t="str">
        <f t="shared" si="89"/>
        <v/>
      </c>
      <c r="V86" s="29" t="str">
        <f t="shared" si="89"/>
        <v/>
      </c>
      <c r="W86" s="29" t="str">
        <f t="shared" si="89"/>
        <v/>
      </c>
      <c r="X86" s="29" t="str">
        <f t="shared" si="89"/>
        <v/>
      </c>
      <c r="Y86" s="29" t="str">
        <f t="shared" si="89"/>
        <v/>
      </c>
      <c r="Z86" s="29" t="str">
        <f t="shared" si="89"/>
        <v/>
      </c>
      <c r="AA86" s="29" t="str">
        <f t="shared" si="89"/>
        <v/>
      </c>
      <c r="AB86" s="29" t="str">
        <f t="shared" si="89"/>
        <v/>
      </c>
      <c r="AC86" s="29" t="str">
        <f t="shared" si="89"/>
        <v/>
      </c>
      <c r="AD86" s="29" t="str">
        <f t="shared" si="89"/>
        <v/>
      </c>
    </row>
    <row r="87" spans="17:30">
      <c r="Q87" s="64"/>
      <c r="R87" s="35" t="s">
        <v>109</v>
      </c>
      <c r="S87" s="29" t="str">
        <f t="shared" ref="S87:AD87" si="90">IF($E$3="纯租赁",IF(S68*12&lt;=$E$12,($E$4*$E$13*12+SUM(S72:S85))*$E$35/12*$E$27,""),($E$4*$E$13*12+SUM(S72:S85))*$E$35/12*$E$27)</f>
        <v/>
      </c>
      <c r="T87" s="29" t="str">
        <f t="shared" si="90"/>
        <v/>
      </c>
      <c r="U87" s="29" t="str">
        <f t="shared" si="90"/>
        <v/>
      </c>
      <c r="V87" s="29" t="str">
        <f t="shared" si="90"/>
        <v/>
      </c>
      <c r="W87" s="29" t="str">
        <f t="shared" si="90"/>
        <v/>
      </c>
      <c r="X87" s="29" t="str">
        <f t="shared" si="90"/>
        <v/>
      </c>
      <c r="Y87" s="29" t="str">
        <f t="shared" si="90"/>
        <v/>
      </c>
      <c r="Z87" s="29" t="str">
        <f t="shared" si="90"/>
        <v/>
      </c>
      <c r="AA87" s="29" t="str">
        <f t="shared" si="90"/>
        <v/>
      </c>
      <c r="AB87" s="29" t="str">
        <f t="shared" si="90"/>
        <v/>
      </c>
      <c r="AC87" s="29" t="str">
        <f t="shared" si="90"/>
        <v/>
      </c>
      <c r="AD87" s="29" t="str">
        <f t="shared" si="90"/>
        <v/>
      </c>
    </row>
    <row r="88" spans="17:30">
      <c r="Q88" s="53" t="s">
        <v>17</v>
      </c>
      <c r="R88" s="65" t="s">
        <v>112</v>
      </c>
      <c r="S88" s="55" t="str">
        <f t="shared" ref="S88:AD88" si="91">IFERROR(S69*0.09/1.09,"")</f>
        <v/>
      </c>
      <c r="T88" s="55" t="str">
        <f t="shared" si="91"/>
        <v/>
      </c>
      <c r="U88" s="55" t="str">
        <f t="shared" si="91"/>
        <v/>
      </c>
      <c r="V88" s="55" t="str">
        <f t="shared" si="91"/>
        <v/>
      </c>
      <c r="W88" s="55" t="str">
        <f t="shared" si="91"/>
        <v/>
      </c>
      <c r="X88" s="55" t="str">
        <f t="shared" si="91"/>
        <v/>
      </c>
      <c r="Y88" s="55" t="str">
        <f t="shared" si="91"/>
        <v/>
      </c>
      <c r="Z88" s="55" t="str">
        <f t="shared" si="91"/>
        <v/>
      </c>
      <c r="AA88" s="55" t="str">
        <f t="shared" si="91"/>
        <v/>
      </c>
      <c r="AB88" s="55" t="str">
        <f t="shared" si="91"/>
        <v/>
      </c>
      <c r="AC88" s="55" t="str">
        <f t="shared" si="91"/>
        <v/>
      </c>
      <c r="AD88" s="55" t="str">
        <f t="shared" si="91"/>
        <v/>
      </c>
    </row>
    <row r="89" spans="17:30">
      <c r="Q89" s="64"/>
      <c r="R89" s="66" t="s">
        <v>115</v>
      </c>
      <c r="S89" s="57" t="str">
        <f t="shared" ref="S89:AD89" si="92">IFERROR((S71+S84+S85)*0.13/1.13+S76*0.06/1.06,"")</f>
        <v/>
      </c>
      <c r="T89" s="57" t="str">
        <f t="shared" si="92"/>
        <v/>
      </c>
      <c r="U89" s="57" t="str">
        <f t="shared" si="92"/>
        <v/>
      </c>
      <c r="V89" s="57" t="str">
        <f t="shared" si="92"/>
        <v/>
      </c>
      <c r="W89" s="57" t="str">
        <f t="shared" si="92"/>
        <v/>
      </c>
      <c r="X89" s="57" t="str">
        <f t="shared" si="92"/>
        <v/>
      </c>
      <c r="Y89" s="57" t="str">
        <f t="shared" si="92"/>
        <v/>
      </c>
      <c r="Z89" s="57" t="str">
        <f t="shared" si="92"/>
        <v/>
      </c>
      <c r="AA89" s="57" t="str">
        <f t="shared" si="92"/>
        <v/>
      </c>
      <c r="AB89" s="57" t="str">
        <f t="shared" si="92"/>
        <v/>
      </c>
      <c r="AC89" s="57" t="str">
        <f t="shared" si="92"/>
        <v/>
      </c>
      <c r="AD89" s="57" t="str">
        <f t="shared" si="92"/>
        <v/>
      </c>
    </row>
    <row r="90" spans="17:30">
      <c r="Q90" s="22"/>
      <c r="R90" s="23" t="s">
        <v>118</v>
      </c>
      <c r="S90" s="24" t="str">
        <f t="shared" ref="S90:AD90" si="93">IFERROR(MAX(0,S88-S89),"")</f>
        <v/>
      </c>
      <c r="T90" s="24" t="str">
        <f t="shared" si="93"/>
        <v/>
      </c>
      <c r="U90" s="24" t="str">
        <f t="shared" si="93"/>
        <v/>
      </c>
      <c r="V90" s="24" t="str">
        <f t="shared" si="93"/>
        <v/>
      </c>
      <c r="W90" s="24" t="str">
        <f t="shared" si="93"/>
        <v/>
      </c>
      <c r="X90" s="24" t="str">
        <f t="shared" si="93"/>
        <v/>
      </c>
      <c r="Y90" s="24" t="str">
        <f t="shared" si="93"/>
        <v/>
      </c>
      <c r="Z90" s="24" t="str">
        <f t="shared" si="93"/>
        <v/>
      </c>
      <c r="AA90" s="24" t="str">
        <f t="shared" si="93"/>
        <v/>
      </c>
      <c r="AB90" s="24" t="str">
        <f t="shared" si="93"/>
        <v/>
      </c>
      <c r="AC90" s="24" t="str">
        <f t="shared" si="93"/>
        <v/>
      </c>
      <c r="AD90" s="24" t="str">
        <f t="shared" si="93"/>
        <v/>
      </c>
    </row>
    <row r="91" ht="16.5" spans="17:30">
      <c r="Q91" s="44" t="s">
        <v>138</v>
      </c>
      <c r="R91" s="44"/>
      <c r="S91" s="76" t="str">
        <f t="shared" ref="S91:AD91" si="94">IFERROR(SUM(S71:S87)+S90,"")</f>
        <v/>
      </c>
      <c r="T91" s="76" t="str">
        <f t="shared" si="94"/>
        <v/>
      </c>
      <c r="U91" s="76" t="str">
        <f t="shared" si="94"/>
        <v/>
      </c>
      <c r="V91" s="76" t="str">
        <f t="shared" si="94"/>
        <v/>
      </c>
      <c r="W91" s="76" t="str">
        <f t="shared" si="94"/>
        <v/>
      </c>
      <c r="X91" s="76" t="str">
        <f t="shared" si="94"/>
        <v/>
      </c>
      <c r="Y91" s="76" t="str">
        <f t="shared" si="94"/>
        <v/>
      </c>
      <c r="Z91" s="76" t="str">
        <f t="shared" si="94"/>
        <v/>
      </c>
      <c r="AA91" s="76" t="str">
        <f t="shared" si="94"/>
        <v/>
      </c>
      <c r="AB91" s="76" t="str">
        <f t="shared" si="94"/>
        <v/>
      </c>
      <c r="AC91" s="76" t="str">
        <f t="shared" si="94"/>
        <v/>
      </c>
      <c r="AD91" s="76" t="str">
        <f t="shared" si="94"/>
        <v/>
      </c>
    </row>
    <row r="92" ht="16.5" spans="17:30">
      <c r="Q92" s="69" t="s">
        <v>140</v>
      </c>
      <c r="R92" s="69"/>
      <c r="S92" s="58" t="str">
        <f t="shared" ref="S92:AD92" si="95">IFERROR(S69-S91,"")</f>
        <v/>
      </c>
      <c r="T92" s="58" t="str">
        <f t="shared" si="95"/>
        <v/>
      </c>
      <c r="U92" s="58" t="str">
        <f t="shared" si="95"/>
        <v/>
      </c>
      <c r="V92" s="58" t="str">
        <f t="shared" si="95"/>
        <v/>
      </c>
      <c r="W92" s="58" t="str">
        <f t="shared" si="95"/>
        <v/>
      </c>
      <c r="X92" s="58" t="str">
        <f t="shared" si="95"/>
        <v/>
      </c>
      <c r="Y92" s="58" t="str">
        <f t="shared" si="95"/>
        <v/>
      </c>
      <c r="Z92" s="58" t="str">
        <f t="shared" si="95"/>
        <v/>
      </c>
      <c r="AA92" s="58" t="str">
        <f t="shared" si="95"/>
        <v/>
      </c>
      <c r="AB92" s="58" t="str">
        <f t="shared" si="95"/>
        <v/>
      </c>
      <c r="AC92" s="58" t="str">
        <f t="shared" si="95"/>
        <v/>
      </c>
      <c r="AD92" s="58" t="str">
        <f t="shared" si="95"/>
        <v/>
      </c>
    </row>
    <row r="93" spans="17:30">
      <c r="Q93" s="1" t="s">
        <v>133</v>
      </c>
    </row>
  </sheetData>
  <sheetProtection formatCells="0" formatColumns="0" formatRows="0"/>
  <protectedRanges>
    <protectedRange sqref="E2:N35 Q3:Q12 Q18:Q27 S38:AB38 AX3:AX7 AZ3:AZ7" name="区域1"/>
  </protectedRanges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93"/>
  <sheetViews>
    <sheetView showGridLines="0" topLeftCell="K1" workbookViewId="0">
      <selection activeCell="AY6" sqref="AY6"/>
    </sheetView>
  </sheetViews>
  <sheetFormatPr defaultColWidth="9.23636363636364" defaultRowHeight="14.5"/>
  <cols>
    <col min="1" max="1" width="8.12727272727273" style="1" customWidth="1"/>
    <col min="2" max="2" width="19.3727272727273" style="1" customWidth="1"/>
    <col min="3" max="4" width="17.9636363636364" style="1" customWidth="1"/>
    <col min="5" max="14" width="10" style="1" customWidth="1"/>
    <col min="15" max="15" width="5" style="1" customWidth="1"/>
    <col min="16" max="16" width="5.25454545454545" style="2" customWidth="1"/>
    <col min="17" max="17" width="8.75454545454545" style="1" customWidth="1"/>
    <col min="18" max="18" width="18.5" style="2" customWidth="1"/>
    <col min="19" max="23" width="15.6272727272727" style="1" customWidth="1"/>
    <col min="24" max="27" width="15.6272727272727" style="1" hidden="1" customWidth="1"/>
    <col min="28" max="30" width="15.6272727272727" style="1" customWidth="1"/>
    <col min="31" max="32" width="5" style="1" customWidth="1"/>
    <col min="33" max="33" width="13.2" style="1" customWidth="1"/>
    <col min="34" max="34" width="17.2545454545455" style="2" customWidth="1"/>
    <col min="35" max="35" width="15.6272727272727" style="2" customWidth="1"/>
    <col min="36" max="47" width="15.6272727272727" style="1" customWidth="1"/>
    <col min="48" max="49" width="4.12727272727273" style="1" customWidth="1"/>
    <col min="50" max="50" width="9.23636363636364" style="1"/>
    <col min="51" max="51" width="18.2545454545455" style="1" customWidth="1"/>
    <col min="52" max="52" width="19.3727272727273" style="1" customWidth="1"/>
    <col min="53" max="63" width="15.6272727272727" style="1" customWidth="1"/>
    <col min="64" max="16384" width="9.23636363636364" style="1"/>
  </cols>
  <sheetData>
    <row r="1" ht="30" customHeight="1" spans="1:63">
      <c r="A1" s="3" t="s">
        <v>36</v>
      </c>
      <c r="B1" s="4"/>
      <c r="C1" s="4"/>
      <c r="D1" s="4"/>
      <c r="Q1" s="4" t="s">
        <v>3</v>
      </c>
      <c r="R1" s="4"/>
      <c r="AG1" s="5" t="s">
        <v>37</v>
      </c>
      <c r="AY1" s="6" t="s">
        <v>38</v>
      </c>
      <c r="AZ1" s="7"/>
      <c r="BA1" s="7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="1" customFormat="1" ht="16.5" spans="1:63">
      <c r="A2" s="8" t="s">
        <v>39</v>
      </c>
      <c r="B2" s="8"/>
      <c r="C2" s="8" t="s">
        <v>40</v>
      </c>
      <c r="D2" s="8"/>
      <c r="E2" s="8" t="s">
        <v>20</v>
      </c>
      <c r="F2" s="8" t="s">
        <v>22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AG2" s="10" t="s">
        <v>41</v>
      </c>
      <c r="AH2" s="10"/>
      <c r="AI2" s="11">
        <v>0</v>
      </c>
      <c r="AJ2" s="12">
        <v>1</v>
      </c>
      <c r="AK2" s="12">
        <v>2</v>
      </c>
      <c r="AL2" s="12">
        <v>3</v>
      </c>
      <c r="AM2" s="12">
        <v>4</v>
      </c>
      <c r="AN2" s="12">
        <v>5</v>
      </c>
      <c r="AO2" s="12">
        <v>6</v>
      </c>
      <c r="AP2" s="12">
        <v>7</v>
      </c>
      <c r="AQ2" s="12">
        <v>8</v>
      </c>
      <c r="AR2" s="12">
        <v>9</v>
      </c>
      <c r="AS2" s="12">
        <v>10</v>
      </c>
      <c r="AT2" s="12">
        <v>11</v>
      </c>
      <c r="AU2" s="12">
        <v>12</v>
      </c>
      <c r="AX2" s="13" t="s">
        <v>42</v>
      </c>
      <c r="AY2" s="13"/>
      <c r="AZ2" s="13" t="s">
        <v>43</v>
      </c>
      <c r="BA2" s="13">
        <v>-5</v>
      </c>
      <c r="BB2" s="14">
        <v>-4</v>
      </c>
      <c r="BC2" s="14">
        <v>-3</v>
      </c>
      <c r="BD2" s="14">
        <v>-2</v>
      </c>
      <c r="BE2" s="14">
        <v>-1</v>
      </c>
      <c r="BF2" s="14" t="s">
        <v>44</v>
      </c>
      <c r="BG2" s="14">
        <v>1</v>
      </c>
      <c r="BH2" s="14">
        <v>2</v>
      </c>
      <c r="BI2" s="14">
        <v>3</v>
      </c>
      <c r="BJ2" s="14">
        <v>4</v>
      </c>
      <c r="BK2" s="14">
        <v>5</v>
      </c>
    </row>
    <row r="3" s="1" customFormat="1" ht="16.5" spans="1:63">
      <c r="A3" s="15" t="s">
        <v>45</v>
      </c>
      <c r="B3" s="16" t="s">
        <v>46</v>
      </c>
      <c r="C3" s="17" t="s">
        <v>47</v>
      </c>
      <c r="D3" s="17"/>
      <c r="E3" s="18" t="s">
        <v>48</v>
      </c>
      <c r="F3" s="18"/>
      <c r="G3" s="18"/>
      <c r="H3" s="18"/>
      <c r="I3" s="18"/>
      <c r="J3" s="18"/>
      <c r="K3" s="18"/>
      <c r="L3" s="18"/>
      <c r="M3" s="18"/>
      <c r="N3" s="18"/>
      <c r="Q3" s="19" t="s">
        <v>20</v>
      </c>
      <c r="R3" s="20">
        <f t="shared" ref="R3:W3" si="0">R18/$E$4</f>
        <v>29700</v>
      </c>
      <c r="S3" s="20">
        <f t="shared" si="0"/>
        <v>9232.25806451613</v>
      </c>
      <c r="T3" s="20">
        <f t="shared" si="0"/>
        <v>32705.46</v>
      </c>
      <c r="U3" s="20">
        <f t="shared" si="0"/>
        <v>135.453624193548</v>
      </c>
      <c r="V3" s="20">
        <f t="shared" si="0"/>
        <v>1036.38849060606</v>
      </c>
      <c r="W3" s="20">
        <f t="shared" si="0"/>
        <v>-13409.5601793157</v>
      </c>
      <c r="AE3" s="21"/>
      <c r="AF3" s="21"/>
      <c r="AG3" s="22" t="s">
        <v>13</v>
      </c>
      <c r="AH3" s="23" t="s">
        <v>49</v>
      </c>
      <c r="AI3" s="23"/>
      <c r="AJ3" s="24" cm="1">
        <f t="array" ref="AJ3">IF(AJ2&lt;=$E$10,$E$4*SUMPRODUCT($E$7:$N$7,$E$8:$N$8,$E$9:$N$9),0)</f>
        <v>172260</v>
      </c>
      <c r="AK3" s="24" cm="1">
        <f t="array" ref="AK3">IF(AK2&lt;=$E$10,$E$4*SUMPRODUCT($E$7:$N$7,$E$8:$N$8,$E$9:$N$9),0)</f>
        <v>172260</v>
      </c>
      <c r="AL3" s="24" cm="1">
        <f t="array" ref="AL3">IF(AL2&lt;=$E$10,$E$4*SUMPRODUCT($E$7:$N$7,$E$8:$N$8,$E$9:$N$9),0)</f>
        <v>172260</v>
      </c>
      <c r="AM3" s="24" cm="1">
        <f t="array" ref="AM3">IF(AM2&lt;=$E$10,$E$4*SUMPRODUCT($E$7:$N$7,$E$8:$N$8,$E$9:$N$9),0)</f>
        <v>172260</v>
      </c>
      <c r="AN3" s="24" cm="1">
        <f t="array" ref="AN3">IF(AN2&lt;=$E$10,$E$4*SUMPRODUCT($E$7:$N$7,$E$8:$N$8,$E$9:$N$9),0)</f>
        <v>172260</v>
      </c>
      <c r="AO3" s="24" cm="1">
        <f t="array" ref="AO3">IF(AO2&lt;=$E$10,$E$4*SUMPRODUCT($E$7:$N$7,$E$8:$N$8,$E$9:$N$9),0)</f>
        <v>172260</v>
      </c>
      <c r="AP3" s="24" cm="1">
        <f t="array" ref="AP3">IF(AP2&lt;=$E$10,$E$4*SUMPRODUCT($E$7:$N$7,$E$8:$N$8,$E$9:$N$9),0)</f>
        <v>172260</v>
      </c>
      <c r="AQ3" s="24" cm="1">
        <f t="array" ref="AQ3">IF(AQ2&lt;=$E$10,$E$4*SUMPRODUCT($E$7:$N$7,$E$8:$N$8,$E$9:$N$9),0)</f>
        <v>172260</v>
      </c>
      <c r="AR3" s="24" cm="1">
        <f t="array" ref="AR3">IF(AR2&lt;=$E$10,$E$4*SUMPRODUCT($E$7:$N$7,$E$8:$N$8,$E$9:$N$9),0)</f>
        <v>172260</v>
      </c>
      <c r="AS3" s="24" cm="1">
        <f t="array" ref="AS3">IF(AS2&lt;=$E$10,$E$4*SUMPRODUCT($E$7:$N$7,$E$8:$N$8,$E$9:$N$9),0)</f>
        <v>172260</v>
      </c>
      <c r="AT3" s="24" cm="1">
        <f t="array" ref="AT3">IF(AT2&lt;=$E$10,$E$4*SUMPRODUCT($E$7:$N$7,$E$8:$N$8,$E$9:$N$9),0)</f>
        <v>0</v>
      </c>
      <c r="AU3" s="24" cm="1">
        <f t="array" ref="AU3">IF(AU2&lt;=$E$10,$E$4*SUMPRODUCT($E$7:$N$7,$E$8:$N$8,$E$9:$N$9),0)</f>
        <v>0</v>
      </c>
      <c r="AX3" s="25" t="s">
        <v>50</v>
      </c>
      <c r="AY3" s="1" t="s">
        <v>51</v>
      </c>
      <c r="AZ3" s="2">
        <v>0.02</v>
      </c>
      <c r="BA3" s="2">
        <f t="shared" ref="BA3:BE3" si="1">IF($AX3="✔",$BF3+BA$2*$AZ3,$BF3)</f>
        <v>0.69</v>
      </c>
      <c r="BB3" s="2">
        <f t="shared" si="1"/>
        <v>0.71</v>
      </c>
      <c r="BC3" s="2">
        <f t="shared" si="1"/>
        <v>0.73</v>
      </c>
      <c r="BD3" s="2">
        <f t="shared" si="1"/>
        <v>0.75</v>
      </c>
      <c r="BE3" s="2">
        <f t="shared" si="1"/>
        <v>0.77</v>
      </c>
      <c r="BF3" s="2">
        <f>$E$5</f>
        <v>0.79</v>
      </c>
      <c r="BG3" s="2">
        <f t="shared" ref="BG3:BK3" si="2">IF($AX3="✔",$BF3+BG$2*$AZ3,$BF3)</f>
        <v>0.81</v>
      </c>
      <c r="BH3" s="2">
        <f t="shared" si="2"/>
        <v>0.83</v>
      </c>
      <c r="BI3" s="2">
        <f t="shared" si="2"/>
        <v>0.85</v>
      </c>
      <c r="BJ3" s="2">
        <f t="shared" si="2"/>
        <v>0.87</v>
      </c>
      <c r="BK3" s="2">
        <f t="shared" si="2"/>
        <v>0.89</v>
      </c>
    </row>
    <row r="4" s="1" customFormat="1" spans="1:63">
      <c r="A4" s="15"/>
      <c r="B4" s="16" t="s">
        <v>52</v>
      </c>
      <c r="C4" s="17" t="s">
        <v>53</v>
      </c>
      <c r="D4" s="17"/>
      <c r="E4" s="26">
        <v>2</v>
      </c>
      <c r="F4" s="26"/>
      <c r="G4" s="26"/>
      <c r="H4" s="26"/>
      <c r="I4" s="26"/>
      <c r="J4" s="26"/>
      <c r="K4" s="26"/>
      <c r="L4" s="26"/>
      <c r="M4" s="26"/>
      <c r="N4" s="26"/>
      <c r="Q4" s="19" t="s">
        <v>22</v>
      </c>
      <c r="R4" s="20">
        <f t="shared" ref="R4:W4" si="3">R19/$E$4</f>
        <v>23760</v>
      </c>
      <c r="S4" s="20">
        <f t="shared" si="3"/>
        <v>5282.90322580645</v>
      </c>
      <c r="T4" s="20">
        <f t="shared" si="3"/>
        <v>2904.291</v>
      </c>
      <c r="U4" s="20">
        <f t="shared" si="3"/>
        <v>77.509573844086</v>
      </c>
      <c r="V4" s="20">
        <f t="shared" si="3"/>
        <v>593.044525180136</v>
      </c>
      <c r="W4" s="20">
        <f t="shared" si="3"/>
        <v>14902.2516751693</v>
      </c>
      <c r="AE4" s="27"/>
      <c r="AF4" s="27"/>
      <c r="AG4" s="28" t="s">
        <v>14</v>
      </c>
      <c r="AH4" s="1" t="s">
        <v>54</v>
      </c>
      <c r="AI4" s="29">
        <f>$E$4*$E$11</f>
        <v>0</v>
      </c>
      <c r="AX4" s="25"/>
      <c r="AY4" s="1" t="s">
        <v>55</v>
      </c>
      <c r="AZ4" s="2">
        <v>2</v>
      </c>
      <c r="BA4" s="30" t="str" cm="1">
        <f t="array" ref="BA4">IF($AX4="✔",_xlfn.TEXTJOIN(",",TRUE,IF($E$7:$N$7&lt;&gt;"",$E$2:$N$2&amp;":"&amp;$E$7:$N$7+BA$2*$AZ4,"")),$BF$4)</f>
        <v>路段1:100, 路段2:80, 路段3:110</v>
      </c>
      <c r="BB4" s="30" t="str" cm="1">
        <f t="array" ref="BB4">IF($AX4="✔",_xlfn.TEXTJOIN(",",TRUE,IF($E$7:$N$7&lt;&gt;"",$E$2:$N$2&amp;":"&amp;$E$7:$N$7+BB$2*$AZ4,"")),$BF$4)</f>
        <v>路段1:100, 路段2:80, 路段3:110</v>
      </c>
      <c r="BC4" s="30" t="str" cm="1">
        <f t="array" ref="BC4">IF($AX4="✔",_xlfn.TEXTJOIN(",",TRUE,IF($E$7:$N$7&lt;&gt;"",$E$2:$N$2&amp;":"&amp;$E$7:$N$7+BC$2*$AZ4,"")),$BF$4)</f>
        <v>路段1:100, 路段2:80, 路段3:110</v>
      </c>
      <c r="BD4" s="30" t="str" cm="1">
        <f t="array" ref="BD4">IF($AX4="✔",_xlfn.TEXTJOIN(",",TRUE,IF($E$7:$N$7&lt;&gt;"",$E$2:$N$2&amp;":"&amp;$E$7:$N$7+BD$2*$AZ4,"")),$BF$4)</f>
        <v>路段1:100, 路段2:80, 路段3:110</v>
      </c>
      <c r="BE4" s="30" t="str" cm="1">
        <f t="array" ref="BE4">IF($AX4="✔",_xlfn.TEXTJOIN(",",TRUE,IF($E$7:$N$7&lt;&gt;"",$E$2:$N$2&amp;":"&amp;$E$7:$N$7+BE$2*$AZ4,"")),$BF$4)</f>
        <v>路段1:100, 路段2:80, 路段3:110</v>
      </c>
      <c r="BF4" s="31" t="str" cm="1">
        <f t="array" ref="BF4">_xlfn.TEXTJOIN(", ",TRUE,IF($E$7:$N$7&lt;&gt;"",$E$2:$N$2&amp;":"&amp;$E$7:$N$7,""))</f>
        <v>路段1:100, 路段2:80, 路段3:110</v>
      </c>
      <c r="BG4" s="30" t="str" cm="1">
        <f t="array" ref="BG4">IF($AX4="✔",_xlfn.TEXTJOIN(",",TRUE,IF($E$7:$N$7&lt;&gt;"",$E$2:$N$2&amp;":"&amp;$E$7:$N$7+BG$2*$AZ4,"")),$BF$4)</f>
        <v>路段1:100, 路段2:80, 路段3:110</v>
      </c>
      <c r="BH4" s="30" t="str" cm="1">
        <f t="array" ref="BH4">IF($AX4="✔",_xlfn.TEXTJOIN(",",TRUE,IF($E$7:$N$7&lt;&gt;"",$E$2:$N$2&amp;":"&amp;$E$7:$N$7+BH$2*$AZ4,"")),$BF$4)</f>
        <v>路段1:100, 路段2:80, 路段3:110</v>
      </c>
      <c r="BI4" s="30" t="str" cm="1">
        <f t="array" ref="BI4">IF($AX4="✔",_xlfn.TEXTJOIN(",",TRUE,IF($E$7:$N$7&lt;&gt;"",$E$2:$N$2&amp;":"&amp;$E$7:$N$7+BI$2*$AZ4,"")),$BF$4)</f>
        <v>路段1:100, 路段2:80, 路段3:110</v>
      </c>
      <c r="BJ4" s="30" t="str" cm="1">
        <f t="array" ref="BJ4">IF($AX4="✔",_xlfn.TEXTJOIN(",",TRUE,IF($E$7:$N$7&lt;&gt;"",$E$2:$N$2&amp;":"&amp;$E$7:$N$7+BJ$2*$AZ4,"")),$BF$4)</f>
        <v>路段1:100, 路段2:80, 路段3:110</v>
      </c>
      <c r="BK4" s="30" t="str" cm="1">
        <f t="array" ref="BK4">IF($AX4="✔",_xlfn.TEXTJOIN(",",TRUE,IF($E$7:$N$7&lt;&gt;"",$E$2:$N$2&amp;":"&amp;$E$7:$N$7+BK$2*$AZ4,"")),$BF$4)</f>
        <v>路段1:100, 路段2:80, 路段3:110</v>
      </c>
    </row>
    <row r="5" s="1" customFormat="1" ht="16.5" spans="1:63">
      <c r="A5" s="15"/>
      <c r="B5" s="16" t="s">
        <v>51</v>
      </c>
      <c r="C5" s="17" t="s">
        <v>56</v>
      </c>
      <c r="D5" s="17"/>
      <c r="E5" s="32">
        <v>0.79</v>
      </c>
      <c r="F5" s="32"/>
      <c r="G5" s="32"/>
      <c r="H5" s="32"/>
      <c r="I5" s="32"/>
      <c r="J5" s="32"/>
      <c r="K5" s="32"/>
      <c r="L5" s="32"/>
      <c r="M5" s="32"/>
      <c r="N5" s="32"/>
      <c r="Q5" s="19" t="s">
        <v>24</v>
      </c>
      <c r="R5" s="20">
        <f t="shared" ref="R5:W5" si="4">R20/$E$4</f>
        <v>32670</v>
      </c>
      <c r="S5" s="20">
        <f t="shared" si="4"/>
        <v>14104.8387096774</v>
      </c>
      <c r="T5" s="20">
        <f t="shared" si="4"/>
        <v>7754.175</v>
      </c>
      <c r="U5" s="20">
        <f t="shared" si="4"/>
        <v>206.943036962366</v>
      </c>
      <c r="V5" s="20">
        <f t="shared" si="4"/>
        <v>1583.3713050926</v>
      </c>
      <c r="W5" s="20">
        <f t="shared" si="4"/>
        <v>9020.67194826762</v>
      </c>
      <c r="AE5" s="33"/>
      <c r="AF5" s="34"/>
      <c r="AG5" s="28"/>
      <c r="AH5" s="1" t="s">
        <v>57</v>
      </c>
      <c r="AI5" s="35"/>
      <c r="AJ5" s="29">
        <f t="shared" ref="AJ5:AU5" si="5">IF(AJ2&lt;=$E$12,$E$4*$E$13,0)</f>
        <v>27800</v>
      </c>
      <c r="AK5" s="29">
        <f t="shared" si="5"/>
        <v>27800</v>
      </c>
      <c r="AL5" s="29">
        <f t="shared" si="5"/>
        <v>27800</v>
      </c>
      <c r="AM5" s="29">
        <f t="shared" si="5"/>
        <v>27800</v>
      </c>
      <c r="AN5" s="29">
        <f t="shared" si="5"/>
        <v>27800</v>
      </c>
      <c r="AO5" s="29">
        <f t="shared" si="5"/>
        <v>27800</v>
      </c>
      <c r="AP5" s="29">
        <f t="shared" si="5"/>
        <v>27800</v>
      </c>
      <c r="AQ5" s="29">
        <f t="shared" si="5"/>
        <v>27800</v>
      </c>
      <c r="AR5" s="29">
        <f t="shared" si="5"/>
        <v>27800</v>
      </c>
      <c r="AS5" s="29">
        <f t="shared" si="5"/>
        <v>27800</v>
      </c>
      <c r="AT5" s="29">
        <f t="shared" si="5"/>
        <v>27800</v>
      </c>
      <c r="AU5" s="29">
        <f t="shared" si="5"/>
        <v>27800</v>
      </c>
      <c r="AX5" s="25"/>
      <c r="AY5" s="1" t="s">
        <v>58</v>
      </c>
      <c r="AZ5" s="2">
        <v>1</v>
      </c>
      <c r="BA5" s="30" t="str" cm="1">
        <f t="array" ref="BA5">IF($AX5="✔",_xlfn.TEXTJOIN(",",TRUE,IF($E$9:$N$9&lt;&gt;"",$E$2:$N$2&amp;":"&amp;$E$9:$N$9+BA$2*$AZ5,"")),$BF$5)</f>
        <v>路段1:9, 路段2:9, 路段3:9</v>
      </c>
      <c r="BB5" s="30" t="str" cm="1">
        <f t="array" ref="BB5">IF($AX5="✔",_xlfn.TEXTJOIN(",",TRUE,IF($E$9:$N$9&lt;&gt;"",$E$2:$N$2&amp;":"&amp;$E$9:$N$9+BB$2*$AZ5,"")),$BF$5)</f>
        <v>路段1:9, 路段2:9, 路段3:9</v>
      </c>
      <c r="BC5" s="30" t="str" cm="1">
        <f t="array" ref="BC5">IF($AX5="✔",_xlfn.TEXTJOIN(",",TRUE,IF($E$9:$N$9&lt;&gt;"",$E$2:$N$2&amp;":"&amp;$E$9:$N$9+BC$2*$AZ5,"")),$BF$5)</f>
        <v>路段1:9, 路段2:9, 路段3:9</v>
      </c>
      <c r="BD5" s="30" t="str" cm="1">
        <f t="array" ref="BD5">IF($AX5="✔",_xlfn.TEXTJOIN(",",TRUE,IF($E$9:$N$9&lt;&gt;"",$E$2:$N$2&amp;":"&amp;$E$9:$N$9+BD$2*$AZ5,"")),$BF$5)</f>
        <v>路段1:9, 路段2:9, 路段3:9</v>
      </c>
      <c r="BE5" s="30" t="str" cm="1">
        <f t="array" ref="BE5">IF($AX5="✔",_xlfn.TEXTJOIN(",",TRUE,IF($E$9:$N$9&lt;&gt;"",$E$2:$N$2&amp;":"&amp;$E$9:$N$9+BE$2*$AZ5,"")),$BF$5)</f>
        <v>路段1:9, 路段2:9, 路段3:9</v>
      </c>
      <c r="BF5" s="31" t="str" cm="1">
        <f t="array" ref="BF5">_xlfn.TEXTJOIN(", ",TRUE,IF($E$9:$N$9&lt;&gt;"",$E$2:$N$2&amp;":"&amp;$E$9:$N$9,""))</f>
        <v>路段1:9, 路段2:9, 路段3:9</v>
      </c>
      <c r="BG5" s="30" t="str" cm="1">
        <f t="array" ref="BG5">IF($AX5="✔",_xlfn.TEXTJOIN(",",TRUE,IF($E$9:$N$9&lt;&gt;"",$E$2:$N$2&amp;":"&amp;$E$9:$N$9+BG$2*$AZ5,"")),$BF$5)</f>
        <v>路段1:9, 路段2:9, 路段3:9</v>
      </c>
      <c r="BH5" s="30" t="str" cm="1">
        <f t="array" ref="BH5">IF($AX5="✔",_xlfn.TEXTJOIN(",",TRUE,IF($E$9:$N$9&lt;&gt;"",$E$2:$N$2&amp;":"&amp;$E$9:$N$9+BH$2*$AZ5,"")),$BF$5)</f>
        <v>路段1:9, 路段2:9, 路段3:9</v>
      </c>
      <c r="BI5" s="30" t="str" cm="1">
        <f t="array" ref="BI5">IF($AX5="✔",_xlfn.TEXTJOIN(",",TRUE,IF($E$9:$N$9&lt;&gt;"",$E$2:$N$2&amp;":"&amp;$E$9:$N$9+BI$2*$AZ5,"")),$BF$5)</f>
        <v>路段1:9, 路段2:9, 路段3:9</v>
      </c>
      <c r="BJ5" s="30" t="str" cm="1">
        <f t="array" ref="BJ5">IF($AX5="✔",_xlfn.TEXTJOIN(",",TRUE,IF($E$9:$N$9&lt;&gt;"",$E$2:$N$2&amp;":"&amp;$E$9:$N$9+BJ$2*$AZ5,"")),$BF$5)</f>
        <v>路段1:9, 路段2:9, 路段3:9</v>
      </c>
      <c r="BK5" s="30" t="str" cm="1">
        <f t="array" ref="BK5">IF($AX5="✔",_xlfn.TEXTJOIN(",",TRUE,IF($E$9:$N$9&lt;&gt;"",$E$2:$N$2&amp;":"&amp;$E$9:$N$9+BK$2*$AZ5,"")),$BF$5)</f>
        <v>路段1:9, 路段2:9, 路段3:9</v>
      </c>
    </row>
    <row r="6" s="1" customFormat="1" spans="1:63">
      <c r="A6" s="15"/>
      <c r="B6" s="16" t="s">
        <v>59</v>
      </c>
      <c r="C6" s="17" t="s">
        <v>60</v>
      </c>
      <c r="D6" s="17"/>
      <c r="E6" s="36">
        <v>360</v>
      </c>
      <c r="F6" s="36">
        <v>206</v>
      </c>
      <c r="G6" s="36">
        <v>550</v>
      </c>
      <c r="H6" s="36"/>
      <c r="I6" s="36"/>
      <c r="J6" s="36"/>
      <c r="K6" s="36"/>
      <c r="L6" s="36"/>
      <c r="M6" s="36"/>
      <c r="N6" s="36"/>
      <c r="Q6" s="19" t="s">
        <v>25</v>
      </c>
      <c r="R6" s="20">
        <f t="shared" ref="R6:W6" si="6">R21/$E$4</f>
        <v>0</v>
      </c>
      <c r="S6" s="20">
        <f t="shared" si="6"/>
        <v>0</v>
      </c>
      <c r="T6" s="20">
        <f t="shared" si="6"/>
        <v>0</v>
      </c>
      <c r="U6" s="20">
        <f t="shared" si="6"/>
        <v>0</v>
      </c>
      <c r="V6" s="20">
        <f t="shared" si="6"/>
        <v>0</v>
      </c>
      <c r="W6" s="20">
        <f t="shared" si="6"/>
        <v>0</v>
      </c>
      <c r="AE6" s="27"/>
      <c r="AF6" s="37"/>
      <c r="AG6" s="28"/>
      <c r="AH6" s="1" t="s">
        <v>61</v>
      </c>
      <c r="AI6" s="35"/>
      <c r="AJ6" s="29">
        <f t="shared" ref="AJ6:AU6" si="7">$E$14*$E$4</f>
        <v>4000</v>
      </c>
      <c r="AK6" s="29">
        <f t="shared" si="7"/>
        <v>4000</v>
      </c>
      <c r="AL6" s="29">
        <f t="shared" si="7"/>
        <v>4000</v>
      </c>
      <c r="AM6" s="29">
        <f t="shared" si="7"/>
        <v>4000</v>
      </c>
      <c r="AN6" s="29">
        <f t="shared" si="7"/>
        <v>4000</v>
      </c>
      <c r="AO6" s="29">
        <f t="shared" si="7"/>
        <v>4000</v>
      </c>
      <c r="AP6" s="29">
        <f t="shared" si="7"/>
        <v>4000</v>
      </c>
      <c r="AQ6" s="29">
        <f t="shared" si="7"/>
        <v>4000</v>
      </c>
      <c r="AR6" s="29">
        <f t="shared" si="7"/>
        <v>4000</v>
      </c>
      <c r="AS6" s="29">
        <f t="shared" si="7"/>
        <v>4000</v>
      </c>
      <c r="AT6" s="29">
        <f t="shared" si="7"/>
        <v>4000</v>
      </c>
      <c r="AU6" s="29">
        <f t="shared" si="7"/>
        <v>4000</v>
      </c>
      <c r="AX6" s="25" t="s">
        <v>50</v>
      </c>
      <c r="AY6" s="38" t="s">
        <v>62</v>
      </c>
      <c r="AZ6" s="39">
        <v>300</v>
      </c>
      <c r="BA6" s="2">
        <f t="shared" ref="BA6:BE6" si="8">IF($AX6="✔",$BF6+BA$2*$AZ6,$BF6)</f>
        <v>12400</v>
      </c>
      <c r="BB6" s="2">
        <f t="shared" si="8"/>
        <v>12700</v>
      </c>
      <c r="BC6" s="2">
        <f t="shared" si="8"/>
        <v>13000</v>
      </c>
      <c r="BD6" s="2">
        <f t="shared" si="8"/>
        <v>13300</v>
      </c>
      <c r="BE6" s="2">
        <f t="shared" si="8"/>
        <v>13600</v>
      </c>
      <c r="BF6" s="40">
        <f>$E$13</f>
        <v>13900</v>
      </c>
      <c r="BG6" s="2">
        <f t="shared" ref="BG6:BK6" si="9">IF($AX6="✔",$BF6+BG$2*$AZ6,$BF6)</f>
        <v>14200</v>
      </c>
      <c r="BH6" s="2">
        <f t="shared" si="9"/>
        <v>14500</v>
      </c>
      <c r="BI6" s="2">
        <f t="shared" si="9"/>
        <v>14800</v>
      </c>
      <c r="BJ6" s="2">
        <f t="shared" si="9"/>
        <v>15100</v>
      </c>
      <c r="BK6" s="2">
        <f t="shared" si="9"/>
        <v>15400</v>
      </c>
    </row>
    <row r="7" s="1" customFormat="1" spans="1:63">
      <c r="A7" s="15"/>
      <c r="B7" s="16" t="s">
        <v>55</v>
      </c>
      <c r="C7" s="17" t="s">
        <v>63</v>
      </c>
      <c r="D7" s="17"/>
      <c r="E7" s="36">
        <v>100</v>
      </c>
      <c r="F7" s="36">
        <v>80</v>
      </c>
      <c r="G7" s="36">
        <v>110</v>
      </c>
      <c r="H7" s="36"/>
      <c r="I7" s="36"/>
      <c r="J7" s="36"/>
      <c r="K7" s="36"/>
      <c r="L7" s="36"/>
      <c r="M7" s="36"/>
      <c r="N7" s="36"/>
      <c r="Q7" s="19" t="s">
        <v>26</v>
      </c>
      <c r="R7" s="20">
        <f t="shared" ref="R7:W7" si="10">R22/$E$4</f>
        <v>0</v>
      </c>
      <c r="S7" s="20">
        <f t="shared" si="10"/>
        <v>0</v>
      </c>
      <c r="T7" s="20">
        <f t="shared" si="10"/>
        <v>0</v>
      </c>
      <c r="U7" s="20">
        <f t="shared" si="10"/>
        <v>0</v>
      </c>
      <c r="V7" s="20">
        <f t="shared" si="10"/>
        <v>0</v>
      </c>
      <c r="W7" s="20">
        <f t="shared" si="10"/>
        <v>0</v>
      </c>
      <c r="AE7" s="27"/>
      <c r="AF7" s="37"/>
      <c r="AG7" s="28"/>
      <c r="AH7" s="1" t="s">
        <v>64</v>
      </c>
      <c r="AI7" s="35"/>
      <c r="AJ7" s="29">
        <f t="shared" ref="AJ7:AU7" si="11">$E$4*$E$15</f>
        <v>0</v>
      </c>
      <c r="AK7" s="29">
        <f t="shared" si="11"/>
        <v>0</v>
      </c>
      <c r="AL7" s="29">
        <f t="shared" si="11"/>
        <v>0</v>
      </c>
      <c r="AM7" s="29">
        <f t="shared" si="11"/>
        <v>0</v>
      </c>
      <c r="AN7" s="29">
        <f t="shared" si="11"/>
        <v>0</v>
      </c>
      <c r="AO7" s="29">
        <f t="shared" si="11"/>
        <v>0</v>
      </c>
      <c r="AP7" s="29">
        <f t="shared" si="11"/>
        <v>0</v>
      </c>
      <c r="AQ7" s="29">
        <f t="shared" si="11"/>
        <v>0</v>
      </c>
      <c r="AR7" s="29">
        <f t="shared" si="11"/>
        <v>0</v>
      </c>
      <c r="AS7" s="29">
        <f t="shared" si="11"/>
        <v>0</v>
      </c>
      <c r="AT7" s="29">
        <f t="shared" si="11"/>
        <v>0</v>
      </c>
      <c r="AU7" s="29">
        <f t="shared" si="11"/>
        <v>0</v>
      </c>
      <c r="AX7" s="25"/>
      <c r="AY7" s="1" t="s">
        <v>65</v>
      </c>
      <c r="AZ7" s="2">
        <v>0.1</v>
      </c>
      <c r="BA7" s="2">
        <f t="shared" ref="BA7:BE7" si="12">IF($AX7="✔",$BF7+BA$2*$AZ7,$BF7)</f>
        <v>1.6</v>
      </c>
      <c r="BB7" s="2">
        <f t="shared" si="12"/>
        <v>1.6</v>
      </c>
      <c r="BC7" s="2">
        <f t="shared" si="12"/>
        <v>1.6</v>
      </c>
      <c r="BD7" s="2">
        <f t="shared" si="12"/>
        <v>1.6</v>
      </c>
      <c r="BE7" s="2">
        <f t="shared" si="12"/>
        <v>1.6</v>
      </c>
      <c r="BF7" s="40">
        <f>$E$32</f>
        <v>1.6</v>
      </c>
      <c r="BG7" s="2">
        <f t="shared" ref="BG7:BK7" si="13">IF($AX7="✔",$BF7+BG$2*$AZ7,$BF7)</f>
        <v>1.6</v>
      </c>
      <c r="BH7" s="2">
        <f t="shared" si="13"/>
        <v>1.6</v>
      </c>
      <c r="BI7" s="2">
        <f t="shared" si="13"/>
        <v>1.6</v>
      </c>
      <c r="BJ7" s="2">
        <f t="shared" si="13"/>
        <v>1.6</v>
      </c>
      <c r="BK7" s="2">
        <f t="shared" si="13"/>
        <v>1.6</v>
      </c>
    </row>
    <row r="8" s="1" customFormat="1" ht="16.5" spans="1:63">
      <c r="A8" s="15"/>
      <c r="B8" s="16" t="s">
        <v>66</v>
      </c>
      <c r="C8" s="17" t="s">
        <v>67</v>
      </c>
      <c r="D8" s="17"/>
      <c r="E8" s="36">
        <v>33</v>
      </c>
      <c r="F8" s="36">
        <v>33</v>
      </c>
      <c r="G8" s="36">
        <v>33</v>
      </c>
      <c r="H8" s="36"/>
      <c r="I8" s="36"/>
      <c r="J8" s="36"/>
      <c r="K8" s="36"/>
      <c r="L8" s="36"/>
      <c r="M8" s="36"/>
      <c r="N8" s="36"/>
      <c r="Q8" s="19" t="s">
        <v>27</v>
      </c>
      <c r="R8" s="20">
        <f t="shared" ref="R8:W8" si="14">R23/$E$4</f>
        <v>0</v>
      </c>
      <c r="S8" s="20">
        <f t="shared" si="14"/>
        <v>0</v>
      </c>
      <c r="T8" s="20">
        <f t="shared" si="14"/>
        <v>0</v>
      </c>
      <c r="U8" s="20">
        <f t="shared" si="14"/>
        <v>0</v>
      </c>
      <c r="V8" s="20">
        <f t="shared" si="14"/>
        <v>0</v>
      </c>
      <c r="W8" s="20">
        <f t="shared" si="14"/>
        <v>0</v>
      </c>
      <c r="AE8" s="27"/>
      <c r="AF8" s="37"/>
      <c r="AG8" s="28"/>
      <c r="AH8" s="1" t="s">
        <v>68</v>
      </c>
      <c r="AI8" s="35"/>
      <c r="AJ8" s="29">
        <f t="shared" ref="AJ8:AU8" si="15">$E$4*$E$16</f>
        <v>9166.66666666667</v>
      </c>
      <c r="AK8" s="29">
        <f t="shared" si="15"/>
        <v>9166.66666666667</v>
      </c>
      <c r="AL8" s="29">
        <f t="shared" si="15"/>
        <v>9166.66666666667</v>
      </c>
      <c r="AM8" s="29">
        <f t="shared" si="15"/>
        <v>9166.66666666667</v>
      </c>
      <c r="AN8" s="29">
        <f t="shared" si="15"/>
        <v>9166.66666666667</v>
      </c>
      <c r="AO8" s="29">
        <f t="shared" si="15"/>
        <v>9166.66666666667</v>
      </c>
      <c r="AP8" s="29">
        <f t="shared" si="15"/>
        <v>9166.66666666667</v>
      </c>
      <c r="AQ8" s="29">
        <f t="shared" si="15"/>
        <v>9166.66666666667</v>
      </c>
      <c r="AR8" s="29">
        <f t="shared" si="15"/>
        <v>9166.66666666667</v>
      </c>
      <c r="AS8" s="29">
        <f t="shared" si="15"/>
        <v>9166.66666666667</v>
      </c>
      <c r="AT8" s="29">
        <f t="shared" si="15"/>
        <v>9166.66666666667</v>
      </c>
      <c r="AU8" s="29">
        <f t="shared" si="15"/>
        <v>9166.66666666667</v>
      </c>
      <c r="AX8" s="41" t="s">
        <v>69</v>
      </c>
      <c r="AY8" s="41"/>
      <c r="AZ8" s="41"/>
      <c r="BA8" s="42"/>
      <c r="BB8" s="43"/>
      <c r="BC8" s="43"/>
      <c r="BD8" s="43"/>
      <c r="BE8" s="43"/>
      <c r="BF8" s="43"/>
      <c r="BG8" s="43"/>
      <c r="BH8" s="43"/>
      <c r="BI8" s="43"/>
      <c r="BJ8" s="43"/>
      <c r="BK8" s="43"/>
    </row>
    <row r="9" s="1" customFormat="1" spans="1:63">
      <c r="A9" s="15"/>
      <c r="B9" s="16" t="s">
        <v>58</v>
      </c>
      <c r="C9" s="17" t="s">
        <v>70</v>
      </c>
      <c r="D9" s="17"/>
      <c r="E9" s="36">
        <v>9</v>
      </c>
      <c r="F9" s="36">
        <v>9</v>
      </c>
      <c r="G9" s="36">
        <v>9</v>
      </c>
      <c r="H9" s="36"/>
      <c r="I9" s="36"/>
      <c r="J9" s="36"/>
      <c r="K9" s="36"/>
      <c r="L9" s="36"/>
      <c r="M9" s="36"/>
      <c r="N9" s="36"/>
      <c r="Q9" s="19" t="s">
        <v>28</v>
      </c>
      <c r="R9" s="20">
        <f t="shared" ref="R9:W9" si="16">R24/$E$4</f>
        <v>0</v>
      </c>
      <c r="S9" s="20">
        <f t="shared" si="16"/>
        <v>0</v>
      </c>
      <c r="T9" s="20">
        <f t="shared" si="16"/>
        <v>0</v>
      </c>
      <c r="U9" s="20">
        <f t="shared" si="16"/>
        <v>0</v>
      </c>
      <c r="V9" s="20">
        <f t="shared" si="16"/>
        <v>0</v>
      </c>
      <c r="W9" s="20">
        <f t="shared" si="16"/>
        <v>0</v>
      </c>
      <c r="AE9" s="27"/>
      <c r="AF9" s="37"/>
      <c r="AG9" s="28"/>
      <c r="AH9" s="1" t="s">
        <v>71</v>
      </c>
      <c r="AI9" s="35"/>
      <c r="AJ9" s="29">
        <f t="shared" ref="AJ9:AU9" si="17">$E$4*$E$17</f>
        <v>666.666666666667</v>
      </c>
      <c r="AK9" s="29">
        <f t="shared" si="17"/>
        <v>666.666666666667</v>
      </c>
      <c r="AL9" s="29">
        <f t="shared" si="17"/>
        <v>666.666666666667</v>
      </c>
      <c r="AM9" s="29">
        <f t="shared" si="17"/>
        <v>666.666666666667</v>
      </c>
      <c r="AN9" s="29">
        <f t="shared" si="17"/>
        <v>666.666666666667</v>
      </c>
      <c r="AO9" s="29">
        <f t="shared" si="17"/>
        <v>666.666666666667</v>
      </c>
      <c r="AP9" s="29">
        <f t="shared" si="17"/>
        <v>666.666666666667</v>
      </c>
      <c r="AQ9" s="29">
        <f t="shared" si="17"/>
        <v>666.666666666667</v>
      </c>
      <c r="AR9" s="29">
        <f t="shared" si="17"/>
        <v>666.666666666667</v>
      </c>
      <c r="AS9" s="29">
        <f t="shared" si="17"/>
        <v>666.666666666667</v>
      </c>
      <c r="AT9" s="29">
        <f t="shared" si="17"/>
        <v>666.666666666667</v>
      </c>
      <c r="AU9" s="29">
        <f t="shared" si="17"/>
        <v>666.666666666667</v>
      </c>
      <c r="AX9" s="28" t="s">
        <v>13</v>
      </c>
      <c r="AY9" s="28"/>
      <c r="AZ9" s="2" t="s">
        <v>49</v>
      </c>
      <c r="BA9" s="29" cm="1">
        <f t="array" ref="BA9">_xlfn.LET(_xlpm.p,IF($AX$4="✔",$AZ$4,0),_xlpm.n,IF($AX$5="✔",$AZ$5,0),SUMPRODUCT($E$7:$N$7+BA$2*_xlpm.p,$E$8:$N$8,$E$9:$N$9+BA$2*_xlpm.n))</f>
        <v>86130</v>
      </c>
      <c r="BB9" s="29" cm="1">
        <f t="array" ref="BB9">_xlfn.LET(_xlpm.p,IF($AX$4="✔",$AZ$4,0),_xlpm.n,IF($AX$5="✔",$AZ$5,0),SUMPRODUCT($E$7:$N$7+BB$2*_xlpm.p,$E$8:$N$8,$E$9:$N$9+BB$2*_xlpm.n))</f>
        <v>86130</v>
      </c>
      <c r="BC9" s="29" cm="1">
        <f t="array" ref="BC9">_xlfn.LET(_xlpm.p,IF($AX$4="✔",$AZ$4,0),_xlpm.n,IF($AX$5="✔",$AZ$5,0),SUMPRODUCT($E$7:$N$7+BC$2*_xlpm.p,$E$8:$N$8,$E$9:$N$9+BC$2*_xlpm.n))</f>
        <v>86130</v>
      </c>
      <c r="BD9" s="29" cm="1">
        <f t="array" ref="BD9">_xlfn.LET(_xlpm.p,IF($AX$4="✔",$AZ$4,0),_xlpm.n,IF($AX$5="✔",$AZ$5,0),SUMPRODUCT($E$7:$N$7+BD$2*_xlpm.p,$E$8:$N$8,$E$9:$N$9+BD$2*_xlpm.n))</f>
        <v>86130</v>
      </c>
      <c r="BE9" s="29" cm="1">
        <f t="array" ref="BE9">_xlfn.LET(_xlpm.p,IF($AX$4="✔",$AZ$4,0),_xlpm.n,IF($AX$5="✔",$AZ$5,0),SUMPRODUCT($E$7:$N$7+BE$2*_xlpm.p,$E$8:$N$8,$E$9:$N$9+BE$2*_xlpm.n))</f>
        <v>86130</v>
      </c>
      <c r="BF9" s="29" cm="1">
        <f t="array" ref="BF9">(SUMPRODUCT($E$7:$N$7,$E$8:$N$8,$E$9:$N$9))</f>
        <v>86130</v>
      </c>
      <c r="BG9" s="29" cm="1">
        <f t="array" ref="BG9">_xlfn.LET(_xlpm.p,IF($AX$4="✔",$AZ$4,0),_xlpm.n,IF($AX$5="✔",$AZ$5,0),SUMPRODUCT($E$7:$N$7+BG$2*_xlpm.p,$E$8:$N$8,$E$9:$N$9+BG$2*_xlpm.n))</f>
        <v>86130</v>
      </c>
      <c r="BH9" s="29" cm="1">
        <f t="array" ref="BH9">_xlfn.LET(_xlpm.p,IF($AX$4="✔",$AZ$4,0),_xlpm.n,IF($AX$5="✔",$AZ$5,0),SUMPRODUCT($E$7:$N$7+BH$2*_xlpm.p,$E$8:$N$8,$E$9:$N$9+BH$2*_xlpm.n))</f>
        <v>86130</v>
      </c>
      <c r="BI9" s="29" cm="1">
        <f t="array" ref="BI9">_xlfn.LET(_xlpm.p,IF($AX$4="✔",$AZ$4,0),_xlpm.n,IF($AX$5="✔",$AZ$5,0),SUMPRODUCT($E$7:$N$7+BI$2*_xlpm.p,$E$8:$N$8,$E$9:$N$9+BI$2*_xlpm.n))</f>
        <v>86130</v>
      </c>
      <c r="BJ9" s="29" cm="1">
        <f t="array" ref="BJ9">_xlfn.LET(_xlpm.p,IF($AX$4="✔",$AZ$4,0),_xlpm.n,IF($AX$5="✔",$AZ$5,0),SUMPRODUCT($E$7:$N$7+BJ$2*_xlpm.p,$E$8:$N$8,$E$9:$N$9+BJ$2*_xlpm.n))</f>
        <v>86130</v>
      </c>
      <c r="BK9" s="29" cm="1">
        <f t="array" ref="BK9">_xlfn.LET(_xlpm.p,IF($AX$4="✔",$AZ$4,0),_xlpm.n,IF($AX$5="✔",$AZ$5,0),SUMPRODUCT($E$7:$N$7+BK$2*_xlpm.p,$E$8:$N$8,$E$9:$N$9+BK$2*_xlpm.n))</f>
        <v>86130</v>
      </c>
    </row>
    <row r="10" s="1" customFormat="1" ht="16.5" spans="1:63">
      <c r="A10" s="15"/>
      <c r="B10" s="16" t="s">
        <v>72</v>
      </c>
      <c r="C10" s="17" t="s">
        <v>73</v>
      </c>
      <c r="D10" s="17"/>
      <c r="E10" s="36">
        <v>10</v>
      </c>
      <c r="F10" s="36"/>
      <c r="G10" s="36"/>
      <c r="H10" s="36"/>
      <c r="I10" s="36"/>
      <c r="J10" s="36"/>
      <c r="K10" s="36"/>
      <c r="L10" s="36"/>
      <c r="M10" s="36"/>
      <c r="N10" s="36"/>
      <c r="Q10" s="19" t="s">
        <v>29</v>
      </c>
      <c r="R10" s="20">
        <f t="shared" ref="R10:W10" si="18">R25/$E$4</f>
        <v>0</v>
      </c>
      <c r="S10" s="20">
        <f t="shared" si="18"/>
        <v>0</v>
      </c>
      <c r="T10" s="20">
        <f t="shared" si="18"/>
        <v>0</v>
      </c>
      <c r="U10" s="20">
        <f t="shared" si="18"/>
        <v>0</v>
      </c>
      <c r="V10" s="20">
        <f t="shared" si="18"/>
        <v>0</v>
      </c>
      <c r="W10" s="20">
        <f t="shared" si="18"/>
        <v>0</v>
      </c>
      <c r="AE10" s="27"/>
      <c r="AF10" s="37"/>
      <c r="AG10" s="28"/>
      <c r="AH10" s="1" t="s">
        <v>74</v>
      </c>
      <c r="AI10" s="35"/>
      <c r="AJ10" s="29">
        <f t="shared" ref="AJ10:AU10" si="19">$E$4*$E$18</f>
        <v>5000</v>
      </c>
      <c r="AK10" s="29">
        <f t="shared" si="19"/>
        <v>5000</v>
      </c>
      <c r="AL10" s="29">
        <f t="shared" si="19"/>
        <v>5000</v>
      </c>
      <c r="AM10" s="29">
        <f t="shared" si="19"/>
        <v>5000</v>
      </c>
      <c r="AN10" s="29">
        <f t="shared" si="19"/>
        <v>5000</v>
      </c>
      <c r="AO10" s="29">
        <f t="shared" si="19"/>
        <v>5000</v>
      </c>
      <c r="AP10" s="29">
        <f t="shared" si="19"/>
        <v>5000</v>
      </c>
      <c r="AQ10" s="29">
        <f t="shared" si="19"/>
        <v>5000</v>
      </c>
      <c r="AR10" s="29">
        <f t="shared" si="19"/>
        <v>5000</v>
      </c>
      <c r="AS10" s="29">
        <f t="shared" si="19"/>
        <v>5000</v>
      </c>
      <c r="AT10" s="29">
        <f t="shared" si="19"/>
        <v>5000</v>
      </c>
      <c r="AU10" s="29">
        <f t="shared" si="19"/>
        <v>5000</v>
      </c>
      <c r="AX10" s="44" t="s">
        <v>75</v>
      </c>
      <c r="AY10" s="44"/>
      <c r="AZ10" s="44"/>
      <c r="BA10" s="45">
        <f t="shared" ref="BA10:BK10" si="20">BA9</f>
        <v>86130</v>
      </c>
      <c r="BB10" s="45">
        <f t="shared" si="20"/>
        <v>86130</v>
      </c>
      <c r="BC10" s="45">
        <f t="shared" si="20"/>
        <v>86130</v>
      </c>
      <c r="BD10" s="45">
        <f t="shared" si="20"/>
        <v>86130</v>
      </c>
      <c r="BE10" s="45">
        <f t="shared" si="20"/>
        <v>86130</v>
      </c>
      <c r="BF10" s="45">
        <f t="shared" si="20"/>
        <v>86130</v>
      </c>
      <c r="BG10" s="45">
        <f t="shared" si="20"/>
        <v>86130</v>
      </c>
      <c r="BH10" s="45">
        <f t="shared" si="20"/>
        <v>86130</v>
      </c>
      <c r="BI10" s="45">
        <f t="shared" si="20"/>
        <v>86130</v>
      </c>
      <c r="BJ10" s="45">
        <f t="shared" si="20"/>
        <v>86130</v>
      </c>
      <c r="BK10" s="45">
        <f t="shared" si="20"/>
        <v>86130</v>
      </c>
    </row>
    <row r="11" s="1" customFormat="1" ht="29" spans="1:63">
      <c r="A11" s="15" t="s">
        <v>14</v>
      </c>
      <c r="B11" s="46" t="s">
        <v>76</v>
      </c>
      <c r="C11" s="17" t="s">
        <v>77</v>
      </c>
      <c r="D11" s="17"/>
      <c r="E11" s="32">
        <v>0</v>
      </c>
      <c r="F11" s="32"/>
      <c r="G11" s="32"/>
      <c r="H11" s="32"/>
      <c r="I11" s="32"/>
      <c r="J11" s="32"/>
      <c r="K11" s="32"/>
      <c r="L11" s="32"/>
      <c r="M11" s="32"/>
      <c r="N11" s="32"/>
      <c r="Q11" s="19" t="s">
        <v>30</v>
      </c>
      <c r="R11" s="20">
        <f t="shared" ref="R11:W11" si="21">R26/$E$4</f>
        <v>0</v>
      </c>
      <c r="S11" s="20">
        <f t="shared" si="21"/>
        <v>0</v>
      </c>
      <c r="T11" s="20">
        <f t="shared" si="21"/>
        <v>0</v>
      </c>
      <c r="U11" s="20">
        <f t="shared" si="21"/>
        <v>0</v>
      </c>
      <c r="V11" s="20">
        <f t="shared" si="21"/>
        <v>0</v>
      </c>
      <c r="W11" s="20">
        <f t="shared" si="21"/>
        <v>0</v>
      </c>
      <c r="AE11" s="27"/>
      <c r="AF11" s="37"/>
      <c r="AG11" s="28"/>
      <c r="AH11" s="1" t="s">
        <v>78</v>
      </c>
      <c r="AI11" s="35"/>
      <c r="AJ11" s="29">
        <f t="shared" ref="AJ11:AU11" si="22">$E$4*$E$19</f>
        <v>0</v>
      </c>
      <c r="AK11" s="29">
        <f t="shared" si="22"/>
        <v>0</v>
      </c>
      <c r="AL11" s="29">
        <f t="shared" si="22"/>
        <v>0</v>
      </c>
      <c r="AM11" s="29">
        <f t="shared" si="22"/>
        <v>0</v>
      </c>
      <c r="AN11" s="29">
        <f t="shared" si="22"/>
        <v>0</v>
      </c>
      <c r="AO11" s="29">
        <f t="shared" si="22"/>
        <v>0</v>
      </c>
      <c r="AP11" s="29">
        <f t="shared" si="22"/>
        <v>0</v>
      </c>
      <c r="AQ11" s="29">
        <f t="shared" si="22"/>
        <v>0</v>
      </c>
      <c r="AR11" s="29">
        <f t="shared" si="22"/>
        <v>0</v>
      </c>
      <c r="AS11" s="29">
        <f t="shared" si="22"/>
        <v>0</v>
      </c>
      <c r="AT11" s="29">
        <f t="shared" si="22"/>
        <v>0</v>
      </c>
      <c r="AU11" s="29">
        <f t="shared" si="22"/>
        <v>0</v>
      </c>
      <c r="AX11" s="28" t="s">
        <v>14</v>
      </c>
      <c r="AY11" s="28"/>
      <c r="AZ11" s="35" t="s">
        <v>79</v>
      </c>
      <c r="BA11" s="29">
        <f t="shared" ref="BA11:BE11" si="23">IF($E$3="纯租赁",BA$6*12/$E$10,($E$11/$E$28+BA$6)*12/$E$10)</f>
        <v>14880</v>
      </c>
      <c r="BB11" s="29">
        <f t="shared" si="23"/>
        <v>15240</v>
      </c>
      <c r="BC11" s="29">
        <f t="shared" si="23"/>
        <v>15600</v>
      </c>
      <c r="BD11" s="29">
        <f t="shared" si="23"/>
        <v>15960</v>
      </c>
      <c r="BE11" s="29">
        <f t="shared" si="23"/>
        <v>16320</v>
      </c>
      <c r="BF11" s="29">
        <f>IF($E$3="纯租赁",$E$13*12/$E$10,($E$11/$E$28+$E$13)*12/$E$10)</f>
        <v>16680</v>
      </c>
      <c r="BG11" s="29">
        <f t="shared" ref="BG11:BK11" si="24">IF($E$3="纯租赁",BG$6*12/$E$10,($E$11/$E$28+BG$6)*12/$E$10)</f>
        <v>17040</v>
      </c>
      <c r="BH11" s="29">
        <f t="shared" si="24"/>
        <v>17400</v>
      </c>
      <c r="BI11" s="29">
        <f t="shared" si="24"/>
        <v>17760</v>
      </c>
      <c r="BJ11" s="29">
        <f t="shared" si="24"/>
        <v>18120</v>
      </c>
      <c r="BK11" s="29">
        <f t="shared" si="24"/>
        <v>18480</v>
      </c>
    </row>
    <row r="12" spans="1:63">
      <c r="A12" s="15"/>
      <c r="B12" s="16" t="s">
        <v>80</v>
      </c>
      <c r="C12" s="17" t="s">
        <v>81</v>
      </c>
      <c r="D12" s="17"/>
      <c r="E12" s="36">
        <v>30</v>
      </c>
      <c r="F12" s="47"/>
      <c r="G12" s="47"/>
      <c r="H12" s="47"/>
      <c r="I12" s="47"/>
      <c r="J12" s="47"/>
      <c r="K12" s="47"/>
      <c r="L12" s="47"/>
      <c r="M12" s="47"/>
      <c r="N12" s="47"/>
      <c r="Q12" s="19" t="s">
        <v>31</v>
      </c>
      <c r="R12" s="20">
        <f t="shared" ref="R12:W12" si="25">R27/$E$4</f>
        <v>0</v>
      </c>
      <c r="S12" s="20">
        <f t="shared" si="25"/>
        <v>0</v>
      </c>
      <c r="T12" s="20">
        <f t="shared" si="25"/>
        <v>0</v>
      </c>
      <c r="U12" s="20">
        <f t="shared" si="25"/>
        <v>0</v>
      </c>
      <c r="V12" s="20">
        <f t="shared" si="25"/>
        <v>0</v>
      </c>
      <c r="W12" s="20">
        <f t="shared" si="25"/>
        <v>0</v>
      </c>
      <c r="AE12" s="27"/>
      <c r="AF12" s="37"/>
      <c r="AG12" s="28"/>
      <c r="AH12" s="1" t="s">
        <v>82</v>
      </c>
      <c r="AI12" s="35"/>
      <c r="AJ12" s="29">
        <f t="shared" ref="AJ12:AU12" si="26">$E$4*$E$20</f>
        <v>666.666666666667</v>
      </c>
      <c r="AK12" s="29">
        <f t="shared" si="26"/>
        <v>666.666666666667</v>
      </c>
      <c r="AL12" s="29">
        <f t="shared" si="26"/>
        <v>666.666666666667</v>
      </c>
      <c r="AM12" s="29">
        <f t="shared" si="26"/>
        <v>666.666666666667</v>
      </c>
      <c r="AN12" s="29">
        <f t="shared" si="26"/>
        <v>666.666666666667</v>
      </c>
      <c r="AO12" s="29">
        <f t="shared" si="26"/>
        <v>666.666666666667</v>
      </c>
      <c r="AP12" s="29">
        <f t="shared" si="26"/>
        <v>666.666666666667</v>
      </c>
      <c r="AQ12" s="29">
        <f t="shared" si="26"/>
        <v>666.666666666667</v>
      </c>
      <c r="AR12" s="29">
        <f t="shared" si="26"/>
        <v>666.666666666667</v>
      </c>
      <c r="AS12" s="29">
        <f t="shared" si="26"/>
        <v>666.666666666667</v>
      </c>
      <c r="AT12" s="29">
        <f t="shared" si="26"/>
        <v>666.666666666667</v>
      </c>
      <c r="AU12" s="29">
        <f t="shared" si="26"/>
        <v>666.666666666667</v>
      </c>
      <c r="AX12" s="28"/>
      <c r="AY12" s="28"/>
      <c r="AZ12" s="35" t="s">
        <v>61</v>
      </c>
      <c r="BA12" s="29">
        <f t="shared" ref="BA12:BK12" si="27">$E$14*12/$E$10</f>
        <v>2400</v>
      </c>
      <c r="BB12" s="29">
        <f t="shared" si="27"/>
        <v>2400</v>
      </c>
      <c r="BC12" s="29">
        <f t="shared" si="27"/>
        <v>2400</v>
      </c>
      <c r="BD12" s="29">
        <f t="shared" si="27"/>
        <v>2400</v>
      </c>
      <c r="BE12" s="29">
        <f t="shared" si="27"/>
        <v>2400</v>
      </c>
      <c r="BF12" s="29">
        <f t="shared" si="27"/>
        <v>2400</v>
      </c>
      <c r="BG12" s="29">
        <f t="shared" si="27"/>
        <v>2400</v>
      </c>
      <c r="BH12" s="29">
        <f t="shared" si="27"/>
        <v>2400</v>
      </c>
      <c r="BI12" s="29">
        <f t="shared" si="27"/>
        <v>2400</v>
      </c>
      <c r="BJ12" s="29">
        <f t="shared" si="27"/>
        <v>2400</v>
      </c>
      <c r="BK12" s="29">
        <f t="shared" si="27"/>
        <v>2400</v>
      </c>
    </row>
    <row r="13" spans="1:63">
      <c r="A13" s="15"/>
      <c r="B13" s="46" t="s">
        <v>62</v>
      </c>
      <c r="C13" s="17" t="s">
        <v>83</v>
      </c>
      <c r="D13" s="17"/>
      <c r="E13" s="32">
        <v>13900</v>
      </c>
      <c r="F13" s="32"/>
      <c r="G13" s="32"/>
      <c r="H13" s="32"/>
      <c r="I13" s="32"/>
      <c r="J13" s="32"/>
      <c r="K13" s="32"/>
      <c r="L13" s="32"/>
      <c r="M13" s="32"/>
      <c r="N13" s="32"/>
      <c r="Q13" s="48" t="s">
        <v>84</v>
      </c>
      <c r="R13" s="49">
        <f t="shared" ref="R13:V13" si="28">SUM(R3:R12)</f>
        <v>86130</v>
      </c>
      <c r="S13" s="49">
        <f t="shared" si="28"/>
        <v>28620</v>
      </c>
      <c r="T13" s="49">
        <f t="shared" si="28"/>
        <v>43363.926</v>
      </c>
      <c r="U13" s="49">
        <f t="shared" si="28"/>
        <v>419.906235</v>
      </c>
      <c r="V13" s="49">
        <f t="shared" si="28"/>
        <v>3212.8043208788</v>
      </c>
      <c r="W13" s="49">
        <f>R13-S13-T13-U13-V13</f>
        <v>10513.3634441212</v>
      </c>
      <c r="AE13" s="27"/>
      <c r="AF13" s="37"/>
      <c r="AG13" s="22"/>
      <c r="AH13" s="50" t="s">
        <v>85</v>
      </c>
      <c r="AI13" s="23"/>
      <c r="AJ13" s="24">
        <f t="shared" ref="AJ13:AU13" si="29">$E$4*$E$21</f>
        <v>400</v>
      </c>
      <c r="AK13" s="24">
        <f t="shared" si="29"/>
        <v>400</v>
      </c>
      <c r="AL13" s="24">
        <f t="shared" si="29"/>
        <v>400</v>
      </c>
      <c r="AM13" s="24">
        <f t="shared" si="29"/>
        <v>400</v>
      </c>
      <c r="AN13" s="24">
        <f t="shared" si="29"/>
        <v>400</v>
      </c>
      <c r="AO13" s="24">
        <f t="shared" si="29"/>
        <v>400</v>
      </c>
      <c r="AP13" s="24">
        <f t="shared" si="29"/>
        <v>400</v>
      </c>
      <c r="AQ13" s="24">
        <f t="shared" si="29"/>
        <v>400</v>
      </c>
      <c r="AR13" s="24">
        <f t="shared" si="29"/>
        <v>400</v>
      </c>
      <c r="AS13" s="24">
        <f t="shared" si="29"/>
        <v>400</v>
      </c>
      <c r="AT13" s="24">
        <f t="shared" si="29"/>
        <v>400</v>
      </c>
      <c r="AU13" s="24">
        <f t="shared" si="29"/>
        <v>400</v>
      </c>
      <c r="AX13" s="28"/>
      <c r="AY13" s="28"/>
      <c r="AZ13" s="35" t="s">
        <v>64</v>
      </c>
      <c r="BA13" s="29">
        <f t="shared" ref="BA13:BK13" si="30">$E$15*12/$E$10</f>
        <v>0</v>
      </c>
      <c r="BB13" s="29">
        <f t="shared" si="30"/>
        <v>0</v>
      </c>
      <c r="BC13" s="29">
        <f t="shared" si="30"/>
        <v>0</v>
      </c>
      <c r="BD13" s="29">
        <f t="shared" si="30"/>
        <v>0</v>
      </c>
      <c r="BE13" s="29">
        <f t="shared" si="30"/>
        <v>0</v>
      </c>
      <c r="BF13" s="29">
        <f t="shared" si="30"/>
        <v>0</v>
      </c>
      <c r="BG13" s="29">
        <f t="shared" si="30"/>
        <v>0</v>
      </c>
      <c r="BH13" s="29">
        <f t="shared" si="30"/>
        <v>0</v>
      </c>
      <c r="BI13" s="29">
        <f t="shared" si="30"/>
        <v>0</v>
      </c>
      <c r="BJ13" s="29">
        <f t="shared" si="30"/>
        <v>0</v>
      </c>
      <c r="BK13" s="29">
        <f t="shared" si="30"/>
        <v>0</v>
      </c>
    </row>
    <row r="14" spans="1:63">
      <c r="A14" s="15"/>
      <c r="B14" s="16" t="s">
        <v>86</v>
      </c>
      <c r="C14" s="17" t="s">
        <v>87</v>
      </c>
      <c r="D14" s="17"/>
      <c r="E14" s="36">
        <f>IF(E4&lt;30,2000,IF(E4&lt;50,1500,IF(E4&lt;100,1200,IF(E4&lt;200,1000,800))))</f>
        <v>2000</v>
      </c>
      <c r="F14" s="47"/>
      <c r="G14" s="47"/>
      <c r="H14" s="47"/>
      <c r="I14" s="47"/>
      <c r="J14" s="47"/>
      <c r="K14" s="47"/>
      <c r="L14" s="47"/>
      <c r="M14" s="47"/>
      <c r="N14" s="47"/>
      <c r="AE14" s="27"/>
      <c r="AF14" s="37"/>
      <c r="AG14" s="28" t="s">
        <v>15</v>
      </c>
      <c r="AH14" s="1" t="s">
        <v>88</v>
      </c>
      <c r="AI14" s="35"/>
      <c r="AJ14" s="29" cm="1">
        <f t="array" ref="AJ14">IF(AJ2&lt;=$E$10,$E$4*SUMPRODUCT($E$9:$N$9,$E$22:$N$22),0)</f>
        <v>27000</v>
      </c>
      <c r="AK14" s="29" cm="1">
        <f t="array" ref="AK14">IF(AK2&lt;=$E$10,$E$4*SUMPRODUCT($E$9:$N$9,$E$22:$N$22),0)</f>
        <v>27000</v>
      </c>
      <c r="AL14" s="29" cm="1">
        <f t="array" ref="AL14">IF(AL2&lt;=$E$10,$E$4*SUMPRODUCT($E$9:$N$9,$E$22:$N$22),0)</f>
        <v>27000</v>
      </c>
      <c r="AM14" s="29" cm="1">
        <f t="array" ref="AM14">IF(AM2&lt;=$E$10,$E$4*SUMPRODUCT($E$9:$N$9,$E$22:$N$22),0)</f>
        <v>27000</v>
      </c>
      <c r="AN14" s="29" cm="1">
        <f t="array" ref="AN14">IF(AN2&lt;=$E$10,$E$4*SUMPRODUCT($E$9:$N$9,$E$22:$N$22),0)</f>
        <v>27000</v>
      </c>
      <c r="AO14" s="29" cm="1">
        <f t="array" ref="AO14">IF(AO2&lt;=$E$10,$E$4*SUMPRODUCT($E$9:$N$9,$E$22:$N$22),0)</f>
        <v>27000</v>
      </c>
      <c r="AP14" s="29" cm="1">
        <f t="array" ref="AP14">IF(AP2&lt;=$E$10,$E$4*SUMPRODUCT($E$9:$N$9,$E$22:$N$22),0)</f>
        <v>27000</v>
      </c>
      <c r="AQ14" s="29" cm="1">
        <f t="array" ref="AQ14">IF(AQ2&lt;=$E$10,$E$4*SUMPRODUCT($E$9:$N$9,$E$22:$N$22),0)</f>
        <v>27000</v>
      </c>
      <c r="AR14" s="29" cm="1">
        <f t="array" ref="AR14">IF(AR2&lt;=$E$10,$E$4*SUMPRODUCT($E$9:$N$9,$E$22:$N$22),0)</f>
        <v>27000</v>
      </c>
      <c r="AS14" s="29" cm="1">
        <f t="array" ref="AS14">IF(AS2&lt;=$E$10,$E$4*SUMPRODUCT($E$9:$N$9,$E$22:$N$22),0)</f>
        <v>27000</v>
      </c>
      <c r="AT14" s="29" cm="1">
        <f t="array" ref="AT14">IF(AT2&lt;=$E$10,$E$4*SUMPRODUCT($E$9:$N$9,$E$22:$N$22),0)</f>
        <v>0</v>
      </c>
      <c r="AU14" s="29" cm="1">
        <f t="array" ref="AU14">IF(AU2&lt;=$E$10,$E$4*SUMPRODUCT($E$9:$N$9,$E$22:$N$22),0)</f>
        <v>0</v>
      </c>
      <c r="AX14" s="28"/>
      <c r="AY14" s="28"/>
      <c r="AZ14" s="35" t="s">
        <v>68</v>
      </c>
      <c r="BA14" s="29">
        <f t="shared" ref="BA14:BK14" si="31">$E$16*12/$E$10</f>
        <v>5500</v>
      </c>
      <c r="BB14" s="29">
        <f t="shared" si="31"/>
        <v>5500</v>
      </c>
      <c r="BC14" s="29">
        <f t="shared" si="31"/>
        <v>5500</v>
      </c>
      <c r="BD14" s="29">
        <f t="shared" si="31"/>
        <v>5500</v>
      </c>
      <c r="BE14" s="29">
        <f t="shared" si="31"/>
        <v>5500</v>
      </c>
      <c r="BF14" s="29">
        <f t="shared" si="31"/>
        <v>5500</v>
      </c>
      <c r="BG14" s="29">
        <f t="shared" si="31"/>
        <v>5500</v>
      </c>
      <c r="BH14" s="29">
        <f t="shared" si="31"/>
        <v>5500</v>
      </c>
      <c r="BI14" s="29">
        <f t="shared" si="31"/>
        <v>5500</v>
      </c>
      <c r="BJ14" s="29">
        <f t="shared" si="31"/>
        <v>5500</v>
      </c>
      <c r="BK14" s="29">
        <f t="shared" si="31"/>
        <v>5500</v>
      </c>
    </row>
    <row r="15" spans="1:63">
      <c r="A15" s="15"/>
      <c r="B15" s="16" t="s">
        <v>89</v>
      </c>
      <c r="C15" s="17" t="s">
        <v>90</v>
      </c>
      <c r="D15" s="17"/>
      <c r="E15" s="36"/>
      <c r="F15" s="47"/>
      <c r="G15" s="47"/>
      <c r="H15" s="47"/>
      <c r="I15" s="47"/>
      <c r="J15" s="47"/>
      <c r="K15" s="47"/>
      <c r="L15" s="47"/>
      <c r="M15" s="47"/>
      <c r="N15" s="47"/>
      <c r="AE15" s="27"/>
      <c r="AF15" s="27"/>
      <c r="AG15" s="28"/>
      <c r="AH15" s="1" t="s">
        <v>91</v>
      </c>
      <c r="AI15" s="35"/>
      <c r="AJ15" s="29" cm="1">
        <f t="array" ref="AJ15">IF(AJ2&lt;=$E$10,$E$4*SUMPRODUCT($E$23:$N$23,$E$9:$N$9),0)</f>
        <v>21060</v>
      </c>
      <c r="AK15" s="29" cm="1">
        <f t="array" ref="AK15">IF(AK2&lt;=$E$10,$E$4*SUMPRODUCT($E$23:$N$23,$E$9:$N$9),0)</f>
        <v>21060</v>
      </c>
      <c r="AL15" s="29" cm="1">
        <f t="array" ref="AL15">IF(AL2&lt;=$E$10,$E$4*SUMPRODUCT($E$23:$N$23,$E$9:$N$9),0)</f>
        <v>21060</v>
      </c>
      <c r="AM15" s="29" cm="1">
        <f t="array" ref="AM15">IF(AM2&lt;=$E$10,$E$4*SUMPRODUCT($E$23:$N$23,$E$9:$N$9),0)</f>
        <v>21060</v>
      </c>
      <c r="AN15" s="29" cm="1">
        <f t="array" ref="AN15">IF(AN2&lt;=$E$10,$E$4*SUMPRODUCT($E$23:$N$23,$E$9:$N$9),0)</f>
        <v>21060</v>
      </c>
      <c r="AO15" s="29" cm="1">
        <f t="array" ref="AO15">IF(AO2&lt;=$E$10,$E$4*SUMPRODUCT($E$23:$N$23,$E$9:$N$9),0)</f>
        <v>21060</v>
      </c>
      <c r="AP15" s="29" cm="1">
        <f t="array" ref="AP15">IF(AP2&lt;=$E$10,$E$4*SUMPRODUCT($E$23:$N$23,$E$9:$N$9),0)</f>
        <v>21060</v>
      </c>
      <c r="AQ15" s="29" cm="1">
        <f t="array" ref="AQ15">IF(AQ2&lt;=$E$10,$E$4*SUMPRODUCT($E$23:$N$23,$E$9:$N$9),0)</f>
        <v>21060</v>
      </c>
      <c r="AR15" s="29" cm="1">
        <f t="array" ref="AR15">IF(AR2&lt;=$E$10,$E$4*SUMPRODUCT($E$23:$N$23,$E$9:$N$9),0)</f>
        <v>21060</v>
      </c>
      <c r="AS15" s="29" cm="1">
        <f t="array" ref="AS15">IF(AS2&lt;=$E$10,$E$4*SUMPRODUCT($E$23:$N$23,$E$9:$N$9),0)</f>
        <v>21060</v>
      </c>
      <c r="AT15" s="29" cm="1">
        <f t="array" ref="AT15">IF(AT2&lt;=$E$10,$E$4*SUMPRODUCT($E$23:$N$23,$E$9:$N$9),0)</f>
        <v>0</v>
      </c>
      <c r="AU15" s="29" cm="1">
        <f t="array" ref="AU15">IF(AU2&lt;=$E$10,$E$4*SUMPRODUCT($E$23:$N$23,$E$9:$N$9),0)</f>
        <v>0</v>
      </c>
      <c r="AX15" s="28"/>
      <c r="AY15" s="28"/>
      <c r="AZ15" s="35" t="s">
        <v>71</v>
      </c>
      <c r="BA15" s="29">
        <f t="shared" ref="BA15:BK15" si="32">$E$17*12/$E$10</f>
        <v>400</v>
      </c>
      <c r="BB15" s="29">
        <f t="shared" si="32"/>
        <v>400</v>
      </c>
      <c r="BC15" s="29">
        <f t="shared" si="32"/>
        <v>400</v>
      </c>
      <c r="BD15" s="29">
        <f t="shared" si="32"/>
        <v>400</v>
      </c>
      <c r="BE15" s="29">
        <f t="shared" si="32"/>
        <v>400</v>
      </c>
      <c r="BF15" s="29">
        <f t="shared" si="32"/>
        <v>400</v>
      </c>
      <c r="BG15" s="29">
        <f t="shared" si="32"/>
        <v>400</v>
      </c>
      <c r="BH15" s="29">
        <f t="shared" si="32"/>
        <v>400</v>
      </c>
      <c r="BI15" s="29">
        <f t="shared" si="32"/>
        <v>400</v>
      </c>
      <c r="BJ15" s="29">
        <f t="shared" si="32"/>
        <v>400</v>
      </c>
      <c r="BK15" s="29">
        <f t="shared" si="32"/>
        <v>400</v>
      </c>
    </row>
    <row r="16" spans="1:63">
      <c r="A16" s="15"/>
      <c r="B16" s="16" t="s">
        <v>92</v>
      </c>
      <c r="C16" s="17" t="s">
        <v>93</v>
      </c>
      <c r="D16" s="17"/>
      <c r="E16" s="36">
        <f>55000/12</f>
        <v>4583.33333333333</v>
      </c>
      <c r="F16" s="47"/>
      <c r="G16" s="47"/>
      <c r="H16" s="47"/>
      <c r="I16" s="47"/>
      <c r="J16" s="47"/>
      <c r="K16" s="47"/>
      <c r="L16" s="47"/>
      <c r="M16" s="47"/>
      <c r="N16" s="47"/>
      <c r="Q16" s="4" t="s">
        <v>32</v>
      </c>
      <c r="R16" s="4"/>
      <c r="AE16" s="27"/>
      <c r="AF16" s="37"/>
      <c r="AG16" s="28"/>
      <c r="AH16" s="1" t="s">
        <v>94</v>
      </c>
      <c r="AI16" s="35"/>
      <c r="AJ16" s="29" cm="1">
        <f t="array" ref="AJ16">IF(AJ2&lt;=$E$10,$E$4*SUMPRODUCT($E$9:$N$9,$E$24:$N$24),0)</f>
        <v>0</v>
      </c>
      <c r="AK16" s="29" cm="1">
        <f t="array" ref="AK16">IF(AK2&lt;=$E$10,$E$4*SUMPRODUCT($E$9:$N$9,$E$24:$N$24),0)</f>
        <v>0</v>
      </c>
      <c r="AL16" s="29" cm="1">
        <f t="array" ref="AL16">IF(AL2&lt;=$E$10,$E$4*SUMPRODUCT($E$9:$N$9,$E$24:$N$24),0)</f>
        <v>0</v>
      </c>
      <c r="AM16" s="29" cm="1">
        <f t="array" ref="AM16">IF(AM2&lt;=$E$10,$E$4*SUMPRODUCT($E$9:$N$9,$E$24:$N$24),0)</f>
        <v>0</v>
      </c>
      <c r="AN16" s="29" cm="1">
        <f t="array" ref="AN16">IF(AN2&lt;=$E$10,$E$4*SUMPRODUCT($E$9:$N$9,$E$24:$N$24),0)</f>
        <v>0</v>
      </c>
      <c r="AO16" s="29" cm="1">
        <f t="array" ref="AO16">IF(AO2&lt;=$E$10,$E$4*SUMPRODUCT($E$9:$N$9,$E$24:$N$24),0)</f>
        <v>0</v>
      </c>
      <c r="AP16" s="29" cm="1">
        <f t="array" ref="AP16">IF(AP2&lt;=$E$10,$E$4*SUMPRODUCT($E$9:$N$9,$E$24:$N$24),0)</f>
        <v>0</v>
      </c>
      <c r="AQ16" s="29" cm="1">
        <f t="array" ref="AQ16">IF(AQ2&lt;=$E$10,$E$4*SUMPRODUCT($E$9:$N$9,$E$24:$N$24),0)</f>
        <v>0</v>
      </c>
      <c r="AR16" s="29" cm="1">
        <f t="array" ref="AR16">IF(AR2&lt;=$E$10,$E$4*SUMPRODUCT($E$9:$N$9,$E$24:$N$24),0)</f>
        <v>0</v>
      </c>
      <c r="AS16" s="29" cm="1">
        <f t="array" ref="AS16">IF(AS2&lt;=$E$10,$E$4*SUMPRODUCT($E$9:$N$9,$E$24:$N$24),0)</f>
        <v>0</v>
      </c>
      <c r="AT16" s="29" cm="1">
        <f t="array" ref="AT16">IF(AT2&lt;=$E$10,$E$4*SUMPRODUCT($E$9:$N$9,$E$24:$N$24),0)</f>
        <v>0</v>
      </c>
      <c r="AU16" s="29" cm="1">
        <f t="array" ref="AU16">IF(AU2&lt;=$E$10,$E$4*SUMPRODUCT($E$9:$N$9,$E$24:$N$24),0)</f>
        <v>0</v>
      </c>
      <c r="AX16" s="28"/>
      <c r="AY16" s="28"/>
      <c r="AZ16" s="35" t="s">
        <v>74</v>
      </c>
      <c r="BA16" s="29">
        <f t="shared" ref="BA16:BK16" si="33">$E$18*12/$E$10</f>
        <v>3000</v>
      </c>
      <c r="BB16" s="29">
        <f t="shared" si="33"/>
        <v>3000</v>
      </c>
      <c r="BC16" s="29">
        <f t="shared" si="33"/>
        <v>3000</v>
      </c>
      <c r="BD16" s="29">
        <f t="shared" si="33"/>
        <v>3000</v>
      </c>
      <c r="BE16" s="29">
        <f t="shared" si="33"/>
        <v>3000</v>
      </c>
      <c r="BF16" s="29">
        <f t="shared" si="33"/>
        <v>3000</v>
      </c>
      <c r="BG16" s="29">
        <f t="shared" si="33"/>
        <v>3000</v>
      </c>
      <c r="BH16" s="29">
        <f t="shared" si="33"/>
        <v>3000</v>
      </c>
      <c r="BI16" s="29">
        <f t="shared" si="33"/>
        <v>3000</v>
      </c>
      <c r="BJ16" s="29">
        <f t="shared" si="33"/>
        <v>3000</v>
      </c>
      <c r="BK16" s="29">
        <f t="shared" si="33"/>
        <v>3000</v>
      </c>
    </row>
    <row r="17" spans="1:63">
      <c r="A17" s="15"/>
      <c r="B17" s="16" t="s">
        <v>95</v>
      </c>
      <c r="C17" s="17" t="s">
        <v>96</v>
      </c>
      <c r="D17" s="17"/>
      <c r="E17" s="36">
        <f>4000/12</f>
        <v>333.333333333333</v>
      </c>
      <c r="F17" s="47"/>
      <c r="G17" s="47"/>
      <c r="H17" s="47"/>
      <c r="I17" s="47"/>
      <c r="J17" s="47"/>
      <c r="K17" s="47"/>
      <c r="L17" s="47"/>
      <c r="M17" s="47"/>
      <c r="N17" s="47"/>
      <c r="Q17" s="9" t="s">
        <v>12</v>
      </c>
      <c r="R17" s="9" t="s">
        <v>13</v>
      </c>
      <c r="S17" s="9" t="s">
        <v>14</v>
      </c>
      <c r="T17" s="9" t="s">
        <v>15</v>
      </c>
      <c r="U17" s="9" t="s">
        <v>16</v>
      </c>
      <c r="V17" s="9" t="s">
        <v>17</v>
      </c>
      <c r="W17" s="9" t="s">
        <v>18</v>
      </c>
      <c r="AE17" s="27"/>
      <c r="AF17" s="37"/>
      <c r="AG17" s="28"/>
      <c r="AH17" s="1" t="s">
        <v>97</v>
      </c>
      <c r="AI17" s="35"/>
      <c r="AJ17" s="29" cm="1">
        <f t="array" ref="AJ17">IF(AJ2&lt;=$E$10,$E$4*SUMPRODUCT($E$9:$N$9,$E$25:$N$25),0)</f>
        <v>7200</v>
      </c>
      <c r="AK17" s="29" cm="1">
        <f t="array" ref="AK17">IF(AK2&lt;=$E$10,$E$4*SUMPRODUCT($E$9:$N$9,$E$25:$N$25),0)</f>
        <v>7200</v>
      </c>
      <c r="AL17" s="29" cm="1">
        <f t="array" ref="AL17">IF(AL2&lt;=$E$10,$E$4*SUMPRODUCT($E$9:$N$9,$E$25:$N$25),0)</f>
        <v>7200</v>
      </c>
      <c r="AM17" s="29" cm="1">
        <f t="array" ref="AM17">IF(AM2&lt;=$E$10,$E$4*SUMPRODUCT($E$9:$N$9,$E$25:$N$25),0)</f>
        <v>7200</v>
      </c>
      <c r="AN17" s="29" cm="1">
        <f t="array" ref="AN17">IF(AN2&lt;=$E$10,$E$4*SUMPRODUCT($E$9:$N$9,$E$25:$N$25),0)</f>
        <v>7200</v>
      </c>
      <c r="AO17" s="29" cm="1">
        <f t="array" ref="AO17">IF(AO2&lt;=$E$10,$E$4*SUMPRODUCT($E$9:$N$9,$E$25:$N$25),0)</f>
        <v>7200</v>
      </c>
      <c r="AP17" s="29" cm="1">
        <f t="array" ref="AP17">IF(AP2&lt;=$E$10,$E$4*SUMPRODUCT($E$9:$N$9,$E$25:$N$25),0)</f>
        <v>7200</v>
      </c>
      <c r="AQ17" s="29" cm="1">
        <f t="array" ref="AQ17">IF(AQ2&lt;=$E$10,$E$4*SUMPRODUCT($E$9:$N$9,$E$25:$N$25),0)</f>
        <v>7200</v>
      </c>
      <c r="AR17" s="29" cm="1">
        <f t="array" ref="AR17">IF(AR2&lt;=$E$10,$E$4*SUMPRODUCT($E$9:$N$9,$E$25:$N$25),0)</f>
        <v>7200</v>
      </c>
      <c r="AS17" s="29" cm="1">
        <f t="array" ref="AS17">IF(AS2&lt;=$E$10,$E$4*SUMPRODUCT($E$9:$N$9,$E$25:$N$25),0)</f>
        <v>7200</v>
      </c>
      <c r="AT17" s="29" cm="1">
        <f t="array" ref="AT17">IF(AT2&lt;=$E$10,$E$4*SUMPRODUCT($E$9:$N$9,$E$25:$N$25),0)</f>
        <v>0</v>
      </c>
      <c r="AU17" s="29" cm="1">
        <f t="array" ref="AU17">IF(AU2&lt;=$E$10,$E$4*SUMPRODUCT($E$9:$N$9,$E$25:$N$25),0)</f>
        <v>0</v>
      </c>
      <c r="AX17" s="28"/>
      <c r="AY17" s="28"/>
      <c r="AZ17" s="35" t="s">
        <v>78</v>
      </c>
      <c r="BA17" s="29">
        <f t="shared" ref="BA17:BK17" si="34">$E$19*12/$E$10</f>
        <v>0</v>
      </c>
      <c r="BB17" s="29">
        <f t="shared" si="34"/>
        <v>0</v>
      </c>
      <c r="BC17" s="29">
        <f t="shared" si="34"/>
        <v>0</v>
      </c>
      <c r="BD17" s="29">
        <f t="shared" si="34"/>
        <v>0</v>
      </c>
      <c r="BE17" s="29">
        <f t="shared" si="34"/>
        <v>0</v>
      </c>
      <c r="BF17" s="29">
        <f t="shared" si="34"/>
        <v>0</v>
      </c>
      <c r="BG17" s="29">
        <f t="shared" si="34"/>
        <v>0</v>
      </c>
      <c r="BH17" s="29">
        <f t="shared" si="34"/>
        <v>0</v>
      </c>
      <c r="BI17" s="29">
        <f t="shared" si="34"/>
        <v>0</v>
      </c>
      <c r="BJ17" s="29">
        <f t="shared" si="34"/>
        <v>0</v>
      </c>
      <c r="BK17" s="29">
        <f t="shared" si="34"/>
        <v>0</v>
      </c>
    </row>
    <row r="18" spans="1:63">
      <c r="A18" s="15"/>
      <c r="B18" s="16" t="s">
        <v>98</v>
      </c>
      <c r="C18" s="17" t="s">
        <v>99</v>
      </c>
      <c r="D18" s="17"/>
      <c r="E18" s="36">
        <f>30000/12</f>
        <v>2500</v>
      </c>
      <c r="F18" s="47"/>
      <c r="G18" s="47"/>
      <c r="H18" s="47"/>
      <c r="I18" s="47"/>
      <c r="J18" s="47"/>
      <c r="K18" s="47"/>
      <c r="L18" s="47"/>
      <c r="M18" s="47"/>
      <c r="N18" s="47"/>
      <c r="Q18" s="19" t="s">
        <v>20</v>
      </c>
      <c r="R18" s="20">
        <f>$E$4*$E$7*$E$8*$E$9</f>
        <v>59400</v>
      </c>
      <c r="S18" s="51">
        <f>SUM($S$41:$S$49)</f>
        <v>18464.5161290323</v>
      </c>
      <c r="T18" s="51">
        <f>SUM($S$50:$S$55)</f>
        <v>65410.92</v>
      </c>
      <c r="U18" s="51">
        <f>SUM($S$56:$S$57)</f>
        <v>270.907248387097</v>
      </c>
      <c r="V18" s="29">
        <f>MAX(0,S58-S59)</f>
        <v>2072.77698121213</v>
      </c>
      <c r="W18" s="51">
        <f t="shared" ref="W18:W28" si="35">R18-S18-T18-U18-V18</f>
        <v>-26819.1203586315</v>
      </c>
      <c r="AE18" s="27"/>
      <c r="AF18" s="37"/>
      <c r="AG18" s="28"/>
      <c r="AH18" s="1" t="s">
        <v>100</v>
      </c>
      <c r="AI18" s="35"/>
      <c r="AJ18" s="29" cm="1">
        <f t="array" ref="AJ18">IF(AJ2&lt;=$E$10,$E$4*$E$5*SUMPRODUCT(IF($E$8:$N$8,$E$32,$E$33),$E$6:$N$6,$E$9:$N$9),0)</f>
        <v>25391.232</v>
      </c>
      <c r="AK18" s="29" cm="1">
        <f t="array" ref="AK18">IF(AK2&lt;=$E$10,$E$4*$E$5*SUMPRODUCT(IF($E$8:$N$8,$E$32,$E$33),$E$6:$N$6,$E$9:$N$9),0)</f>
        <v>25391.232</v>
      </c>
      <c r="AL18" s="29" cm="1">
        <f t="array" ref="AL18">IF(AL2&lt;=$E$10,$E$4*$E$5*SUMPRODUCT(IF($E$8:$N$8,$E$32,$E$33),$E$6:$N$6,$E$9:$N$9),0)</f>
        <v>25391.232</v>
      </c>
      <c r="AM18" s="29" cm="1">
        <f t="array" ref="AM18">IF(AM2&lt;=$E$10,$E$4*$E$5*SUMPRODUCT(IF($E$8:$N$8,$E$32,$E$33),$E$6:$N$6,$E$9:$N$9),0)</f>
        <v>25391.232</v>
      </c>
      <c r="AN18" s="29" cm="1">
        <f t="array" ref="AN18">IF(AN2&lt;=$E$10,$E$4*$E$5*SUMPRODUCT(IF($E$8:$N$8,$E$32,$E$33),$E$6:$N$6,$E$9:$N$9),0)</f>
        <v>25391.232</v>
      </c>
      <c r="AO18" s="29" cm="1">
        <f t="array" ref="AO18">IF(AO2&lt;=$E$10,$E$4*$E$5*SUMPRODUCT(IF($E$8:$N$8,$E$32,$E$33),$E$6:$N$6,$E$9:$N$9),0)</f>
        <v>25391.232</v>
      </c>
      <c r="AP18" s="29" cm="1">
        <f t="array" ref="AP18">IF(AP2&lt;=$E$10,$E$4*$E$5*SUMPRODUCT(IF($E$8:$N$8,$E$32,$E$33),$E$6:$N$6,$E$9:$N$9),0)</f>
        <v>25391.232</v>
      </c>
      <c r="AQ18" s="29" cm="1">
        <f t="array" ref="AQ18">IF(AQ2&lt;=$E$10,$E$4*$E$5*SUMPRODUCT(IF($E$8:$N$8,$E$32,$E$33),$E$6:$N$6,$E$9:$N$9),0)</f>
        <v>25391.232</v>
      </c>
      <c r="AR18" s="29" cm="1">
        <f t="array" ref="AR18">IF(AR2&lt;=$E$10,$E$4*$E$5*SUMPRODUCT(IF($E$8:$N$8,$E$32,$E$33),$E$6:$N$6,$E$9:$N$9),0)</f>
        <v>25391.232</v>
      </c>
      <c r="AS18" s="29" cm="1">
        <f t="array" ref="AS18">IF(AS2&lt;=$E$10,$E$4*$E$5*SUMPRODUCT(IF($E$8:$N$8,$E$32,$E$33),$E$6:$N$6,$E$9:$N$9),0)</f>
        <v>25391.232</v>
      </c>
      <c r="AT18" s="29" cm="1">
        <f t="array" ref="AT18">IF(AT2&lt;=$E$10,$E$4*$E$5*SUMPRODUCT(IF($E$8:$N$8,$E$32,$E$33),$E$6:$N$6,$E$9:$N$9),0)</f>
        <v>0</v>
      </c>
      <c r="AU18" s="29" cm="1">
        <f t="array" ref="AU18">IF(AU2&lt;=$E$10,$E$4*$E$5*SUMPRODUCT(IF($E$8:$N$8,$E$32,$E$33),$E$6:$N$6,$E$9:$N$9),0)</f>
        <v>0</v>
      </c>
      <c r="AX18" s="28"/>
      <c r="AY18" s="28"/>
      <c r="AZ18" s="35" t="s">
        <v>82</v>
      </c>
      <c r="BA18" s="29">
        <f t="shared" ref="BA18:BK18" si="36">$E$20*12/$E$10</f>
        <v>400</v>
      </c>
      <c r="BB18" s="29">
        <f t="shared" si="36"/>
        <v>400</v>
      </c>
      <c r="BC18" s="29">
        <f t="shared" si="36"/>
        <v>400</v>
      </c>
      <c r="BD18" s="29">
        <f t="shared" si="36"/>
        <v>400</v>
      </c>
      <c r="BE18" s="29">
        <f t="shared" si="36"/>
        <v>400</v>
      </c>
      <c r="BF18" s="29">
        <f t="shared" si="36"/>
        <v>400</v>
      </c>
      <c r="BG18" s="29">
        <f t="shared" si="36"/>
        <v>400</v>
      </c>
      <c r="BH18" s="29">
        <f t="shared" si="36"/>
        <v>400</v>
      </c>
      <c r="BI18" s="29">
        <f t="shared" si="36"/>
        <v>400</v>
      </c>
      <c r="BJ18" s="29">
        <f t="shared" si="36"/>
        <v>400</v>
      </c>
      <c r="BK18" s="29">
        <f t="shared" si="36"/>
        <v>400</v>
      </c>
    </row>
    <row r="19" spans="1:63">
      <c r="A19" s="15"/>
      <c r="B19" s="16" t="s">
        <v>101</v>
      </c>
      <c r="C19" s="17" t="s">
        <v>102</v>
      </c>
      <c r="D19" s="17"/>
      <c r="E19" s="36">
        <v>0</v>
      </c>
      <c r="F19" s="47"/>
      <c r="G19" s="47"/>
      <c r="H19" s="47"/>
      <c r="I19" s="47"/>
      <c r="J19" s="47"/>
      <c r="K19" s="47"/>
      <c r="L19" s="47"/>
      <c r="M19" s="47"/>
      <c r="N19" s="47"/>
      <c r="Q19" s="19" t="s">
        <v>22</v>
      </c>
      <c r="R19" s="20">
        <f>$E$4*$F$7*$F$8*$F$9</f>
        <v>47520</v>
      </c>
      <c r="S19" s="51">
        <f>SUM($T$41:$T$49)</f>
        <v>10565.8064516129</v>
      </c>
      <c r="T19" s="51">
        <f>SUM($T$50:$T$55)</f>
        <v>5808.582</v>
      </c>
      <c r="U19" s="51">
        <f>SUM($T$56:$T$57)</f>
        <v>155.019147688172</v>
      </c>
      <c r="V19" s="29">
        <f>MAX(0,T58-T59)</f>
        <v>1186.08905036027</v>
      </c>
      <c r="W19" s="51">
        <f t="shared" si="35"/>
        <v>29804.5033503387</v>
      </c>
      <c r="AE19" s="27"/>
      <c r="AF19" s="37"/>
      <c r="AG19" s="22"/>
      <c r="AH19" s="50" t="s">
        <v>103</v>
      </c>
      <c r="AI19" s="23"/>
      <c r="AJ19" s="24" cm="1">
        <f t="array" ref="AJ19">IF(AJ2&lt;=$E$10,SUMPRODUCT($E$6:$N$6,$E$9:$N$9)/$E$29*$E$30*$E$4*$E$31,0)</f>
        <v>6076.62</v>
      </c>
      <c r="AK19" s="24" cm="1">
        <f t="array" ref="AK19">IF(AK2&lt;=$E$10,SUMPRODUCT($E$6:$N$6,$E$9:$N$9)/$E$29*$E$30*$E$4*$E$31,0)</f>
        <v>6076.62</v>
      </c>
      <c r="AL19" s="24" cm="1">
        <f t="array" ref="AL19">IF(AL2&lt;=$E$10,SUMPRODUCT($E$6:$N$6,$E$9:$N$9)/$E$29*$E$30*$E$4*$E$31,0)</f>
        <v>6076.62</v>
      </c>
      <c r="AM19" s="24" cm="1">
        <f t="array" ref="AM19">IF(AM2&lt;=$E$10,SUMPRODUCT($E$6:$N$6,$E$9:$N$9)/$E$29*$E$30*$E$4*$E$31,0)</f>
        <v>6076.62</v>
      </c>
      <c r="AN19" s="24" cm="1">
        <f t="array" ref="AN19">IF(AN2&lt;=$E$10,SUMPRODUCT($E$6:$N$6,$E$9:$N$9)/$E$29*$E$30*$E$4*$E$31,0)</f>
        <v>6076.62</v>
      </c>
      <c r="AO19" s="24" cm="1">
        <f t="array" ref="AO19">IF(AO2&lt;=$E$10,SUMPRODUCT($E$6:$N$6,$E$9:$N$9)/$E$29*$E$30*$E$4*$E$31,0)</f>
        <v>6076.62</v>
      </c>
      <c r="AP19" s="24" cm="1">
        <f t="array" ref="AP19">IF(AP2&lt;=$E$10,SUMPRODUCT($E$6:$N$6,$E$9:$N$9)/$E$29*$E$30*$E$4*$E$31,0)</f>
        <v>6076.62</v>
      </c>
      <c r="AQ19" s="24" cm="1">
        <f t="array" ref="AQ19">IF(AQ2&lt;=$E$10,SUMPRODUCT($E$6:$N$6,$E$9:$N$9)/$E$29*$E$30*$E$4*$E$31,0)</f>
        <v>6076.62</v>
      </c>
      <c r="AR19" s="24" cm="1">
        <f t="array" ref="AR19">IF(AR2&lt;=$E$10,SUMPRODUCT($E$6:$N$6,$E$9:$N$9)/$E$29*$E$30*$E$4*$E$31,0)</f>
        <v>6076.62</v>
      </c>
      <c r="AS19" s="24" cm="1">
        <f t="array" ref="AS19">IF(AS2&lt;=$E$10,SUMPRODUCT($E$6:$N$6,$E$9:$N$9)/$E$29*$E$30*$E$4*$E$31,0)</f>
        <v>6076.62</v>
      </c>
      <c r="AT19" s="24" cm="1">
        <f t="array" ref="AT19">IF(AT2&lt;=$E$10,SUMPRODUCT($E$6:$N$6,$E$9:$N$9)/$E$29*$E$30*$E$4*$E$31,0)</f>
        <v>0</v>
      </c>
      <c r="AU19" s="24" cm="1">
        <f t="array" ref="AU19">IF(AU2&lt;=$E$10,SUMPRODUCT($E$6:$N$6,$E$9:$N$9)/$E$29*$E$30*$E$4*$E$31,0)</f>
        <v>0</v>
      </c>
      <c r="AX19" s="22"/>
      <c r="AY19" s="22"/>
      <c r="AZ19" s="23" t="s">
        <v>85</v>
      </c>
      <c r="BA19" s="24">
        <f t="shared" ref="BA19:BK19" si="37">$E$21*12/$E$10</f>
        <v>240</v>
      </c>
      <c r="BB19" s="24">
        <f t="shared" si="37"/>
        <v>240</v>
      </c>
      <c r="BC19" s="24">
        <f t="shared" si="37"/>
        <v>240</v>
      </c>
      <c r="BD19" s="24">
        <f t="shared" si="37"/>
        <v>240</v>
      </c>
      <c r="BE19" s="24">
        <f t="shared" si="37"/>
        <v>240</v>
      </c>
      <c r="BF19" s="24">
        <f t="shared" si="37"/>
        <v>240</v>
      </c>
      <c r="BG19" s="24">
        <f t="shared" si="37"/>
        <v>240</v>
      </c>
      <c r="BH19" s="24">
        <f t="shared" si="37"/>
        <v>240</v>
      </c>
      <c r="BI19" s="24">
        <f t="shared" si="37"/>
        <v>240</v>
      </c>
      <c r="BJ19" s="24">
        <f t="shared" si="37"/>
        <v>240</v>
      </c>
      <c r="BK19" s="24">
        <f t="shared" si="37"/>
        <v>240</v>
      </c>
    </row>
    <row r="20" spans="1:63">
      <c r="A20" s="15"/>
      <c r="B20" s="16" t="s">
        <v>104</v>
      </c>
      <c r="C20" s="17" t="s">
        <v>105</v>
      </c>
      <c r="D20" s="17"/>
      <c r="E20" s="36">
        <f>4000/12</f>
        <v>333.333333333333</v>
      </c>
      <c r="F20" s="36"/>
      <c r="G20" s="36"/>
      <c r="H20" s="36"/>
      <c r="I20" s="36"/>
      <c r="J20" s="36"/>
      <c r="K20" s="36"/>
      <c r="L20" s="36"/>
      <c r="M20" s="36"/>
      <c r="N20" s="36"/>
      <c r="Q20" s="19" t="s">
        <v>24</v>
      </c>
      <c r="R20" s="20">
        <f>$E$4*$G$7*$G$8*$G$9</f>
        <v>65340</v>
      </c>
      <c r="S20" s="51">
        <f>SUM($U$41:$U$49)</f>
        <v>28209.6774193548</v>
      </c>
      <c r="T20" s="51">
        <f>SUM($U$50:$U$55)</f>
        <v>15508.35</v>
      </c>
      <c r="U20" s="51">
        <f>SUM($U$56:$U$57)</f>
        <v>413.886073924731</v>
      </c>
      <c r="V20" s="29">
        <f>MAX(0,U58-U59)</f>
        <v>3166.74261018519</v>
      </c>
      <c r="W20" s="51">
        <f t="shared" si="35"/>
        <v>18041.3438965352</v>
      </c>
      <c r="AE20" s="27"/>
      <c r="AF20" s="37"/>
      <c r="AG20" s="28" t="s">
        <v>16</v>
      </c>
      <c r="AH20" s="1" t="s">
        <v>106</v>
      </c>
      <c r="AI20" s="35"/>
      <c r="AJ20" s="29">
        <f t="shared" ref="AJ20:AU20" si="38">AJ3*$E$34/12*$E$26</f>
        <v>0</v>
      </c>
      <c r="AK20" s="29">
        <f t="shared" si="38"/>
        <v>0</v>
      </c>
      <c r="AL20" s="29">
        <f t="shared" si="38"/>
        <v>0</v>
      </c>
      <c r="AM20" s="29">
        <f t="shared" si="38"/>
        <v>0</v>
      </c>
      <c r="AN20" s="29">
        <f t="shared" si="38"/>
        <v>0</v>
      </c>
      <c r="AO20" s="29">
        <f t="shared" si="38"/>
        <v>0</v>
      </c>
      <c r="AP20" s="29">
        <f t="shared" si="38"/>
        <v>0</v>
      </c>
      <c r="AQ20" s="29">
        <f t="shared" si="38"/>
        <v>0</v>
      </c>
      <c r="AR20" s="29">
        <f t="shared" si="38"/>
        <v>0</v>
      </c>
      <c r="AS20" s="29">
        <f t="shared" si="38"/>
        <v>0</v>
      </c>
      <c r="AT20" s="29">
        <f t="shared" si="38"/>
        <v>0</v>
      </c>
      <c r="AU20" s="29">
        <f t="shared" si="38"/>
        <v>0</v>
      </c>
      <c r="AX20" s="28" t="s">
        <v>15</v>
      </c>
      <c r="AY20" s="28"/>
      <c r="AZ20" s="35" t="s">
        <v>88</v>
      </c>
      <c r="BA20" s="29" cm="1">
        <f t="array" ref="BA20">_xlfn.LET(_xlpm.n,IF($AX$5="✔",$AZ$5,0),SUMPRODUCT($E$9:$N$9+BA$2*_xlpm.n,$E$22:$N$22))</f>
        <v>13500</v>
      </c>
      <c r="BB20" s="29" cm="1">
        <f t="array" ref="BB20">_xlfn.LET(_xlpm.n,IF($AX$5="✔",$AZ$5,0),SUMPRODUCT($E$9:$N$9+BB$2*_xlpm.n,$E$22:$N$22))</f>
        <v>13500</v>
      </c>
      <c r="BC20" s="29" cm="1">
        <f t="array" ref="BC20">_xlfn.LET(_xlpm.n,IF($AX$5="✔",$AZ$5,0),SUMPRODUCT($E$9:$N$9+BC$2*_xlpm.n,$E$22:$N$22))</f>
        <v>13500</v>
      </c>
      <c r="BD20" s="29" cm="1">
        <f t="array" ref="BD20">_xlfn.LET(_xlpm.n,IF($AX$5="✔",$AZ$5,0),SUMPRODUCT($E$9:$N$9+BD$2*_xlpm.n,$E$22:$N$22))</f>
        <v>13500</v>
      </c>
      <c r="BE20" s="29" cm="1">
        <f t="array" ref="BE20">_xlfn.LET(_xlpm.n,IF($AX$5="✔",$AZ$5,0),SUMPRODUCT($E$9:$N$9+BE$2*_xlpm.n,$E$22:$N$22))</f>
        <v>13500</v>
      </c>
      <c r="BF20" s="29" cm="1">
        <f t="array" ref="BF20">SUMPRODUCT($E$9:$N$9,$E$22:$N$22)</f>
        <v>13500</v>
      </c>
      <c r="BG20" s="29" cm="1">
        <f t="array" ref="BG20">_xlfn.LET(_xlpm.n,IF($AX$5="✔",$AZ$5,0),SUMPRODUCT($E$9:$N$9+BG$2*_xlpm.n,$E$22:$N$22))</f>
        <v>13500</v>
      </c>
      <c r="BH20" s="29" cm="1">
        <f t="array" ref="BH20">_xlfn.LET(_xlpm.n,IF($AX$5="✔",$AZ$5,0),SUMPRODUCT($E$9:$N$9+BH$2*_xlpm.n,$E$22:$N$22))</f>
        <v>13500</v>
      </c>
      <c r="BI20" s="29" cm="1">
        <f t="array" ref="BI20">_xlfn.LET(_xlpm.n,IF($AX$5="✔",$AZ$5,0),SUMPRODUCT($E$9:$N$9+BI$2*_xlpm.n,$E$22:$N$22))</f>
        <v>13500</v>
      </c>
      <c r="BJ20" s="29" cm="1">
        <f t="array" ref="BJ20">_xlfn.LET(_xlpm.n,IF($AX$5="✔",$AZ$5,0),SUMPRODUCT($E$9:$N$9+BJ$2*_xlpm.n,$E$22:$N$22))</f>
        <v>13500</v>
      </c>
      <c r="BK20" s="29" cm="1">
        <f t="array" ref="BK20">_xlfn.LET(_xlpm.n,IF($AX$5="✔",$AZ$5,0),SUMPRODUCT($E$9:$N$9+BK$2*_xlpm.n,$E$22:$N$22))</f>
        <v>13500</v>
      </c>
    </row>
    <row r="21" spans="1:63">
      <c r="A21" s="15"/>
      <c r="B21" s="16" t="s">
        <v>107</v>
      </c>
      <c r="C21" s="17" t="s">
        <v>108</v>
      </c>
      <c r="D21" s="17"/>
      <c r="E21" s="36">
        <v>200</v>
      </c>
      <c r="F21" s="36"/>
      <c r="G21" s="36"/>
      <c r="H21" s="36"/>
      <c r="I21" s="36"/>
      <c r="J21" s="36"/>
      <c r="K21" s="36"/>
      <c r="L21" s="36"/>
      <c r="M21" s="36"/>
      <c r="N21" s="36"/>
      <c r="Q21" s="19" t="s">
        <v>25</v>
      </c>
      <c r="R21" s="20">
        <f>$E$4*$H$7*$H$8*$H$9</f>
        <v>0</v>
      </c>
      <c r="S21" s="51">
        <f>SUM($V$41:$V$49)</f>
        <v>0</v>
      </c>
      <c r="T21" s="51">
        <f>SUM($V$50:$V$55)</f>
        <v>0</v>
      </c>
      <c r="U21" s="51">
        <f>SUM($V$56:$V$57)</f>
        <v>0</v>
      </c>
      <c r="V21" s="29">
        <f>MAX(0,V58-V59)</f>
        <v>0</v>
      </c>
      <c r="W21" s="51">
        <f t="shared" si="35"/>
        <v>0</v>
      </c>
      <c r="AE21" s="27"/>
      <c r="AF21" s="27"/>
      <c r="AG21" s="28"/>
      <c r="AH21" s="1" t="s">
        <v>109</v>
      </c>
      <c r="AI21" s="35"/>
      <c r="AJ21" s="29">
        <f t="shared" ref="AJ21:AU21" si="39">SUM(AJ5:AJ19)*$E$35/12*$E$27</f>
        <v>784.16247</v>
      </c>
      <c r="AK21" s="29">
        <f t="shared" si="39"/>
        <v>784.16247</v>
      </c>
      <c r="AL21" s="29">
        <f t="shared" si="39"/>
        <v>784.16247</v>
      </c>
      <c r="AM21" s="29">
        <f t="shared" si="39"/>
        <v>784.16247</v>
      </c>
      <c r="AN21" s="29">
        <f t="shared" si="39"/>
        <v>784.16247</v>
      </c>
      <c r="AO21" s="29">
        <f t="shared" si="39"/>
        <v>784.16247</v>
      </c>
      <c r="AP21" s="29">
        <f t="shared" si="39"/>
        <v>784.16247</v>
      </c>
      <c r="AQ21" s="29">
        <f t="shared" si="39"/>
        <v>784.16247</v>
      </c>
      <c r="AR21" s="29">
        <f t="shared" si="39"/>
        <v>784.16247</v>
      </c>
      <c r="AS21" s="29">
        <f t="shared" si="39"/>
        <v>784.16247</v>
      </c>
      <c r="AT21" s="29">
        <f t="shared" si="39"/>
        <v>278.25</v>
      </c>
      <c r="AU21" s="29">
        <f t="shared" si="39"/>
        <v>278.25</v>
      </c>
      <c r="AX21" s="28"/>
      <c r="AY21" s="28"/>
      <c r="AZ21" s="35" t="s">
        <v>91</v>
      </c>
      <c r="BA21" s="29" cm="1">
        <f t="array" ref="BA21">_xlfn.LET(_xlpm.n,IF($AX$5="✔",$AZ$5,0),SUMPRODUCT($E$9:$N$9+BA$2*_xlpm.n,$E$23:$N$23))</f>
        <v>10530</v>
      </c>
      <c r="BB21" s="29" cm="1">
        <f t="array" ref="BB21">_xlfn.LET(_xlpm.n,IF($AX$5="✔",$AZ$5,0),SUMPRODUCT($E$9:$N$9+BB$2*_xlpm.n,$E$23:$N$23))</f>
        <v>10530</v>
      </c>
      <c r="BC21" s="29" cm="1">
        <f t="array" ref="BC21">_xlfn.LET(_xlpm.n,IF($AX$5="✔",$AZ$5,0),SUMPRODUCT($E$9:$N$9+BC$2*_xlpm.n,$E$23:$N$23))</f>
        <v>10530</v>
      </c>
      <c r="BD21" s="29" cm="1">
        <f t="array" ref="BD21">_xlfn.LET(_xlpm.n,IF($AX$5="✔",$AZ$5,0),SUMPRODUCT($E$9:$N$9+BD$2*_xlpm.n,$E$23:$N$23))</f>
        <v>10530</v>
      </c>
      <c r="BE21" s="29" cm="1">
        <f t="array" ref="BE21">_xlfn.LET(_xlpm.n,IF($AX$5="✔",$AZ$5,0),SUMPRODUCT($E$9:$N$9+BE$2*_xlpm.n,$E$23:$N$23))</f>
        <v>10530</v>
      </c>
      <c r="BF21" s="29" cm="1">
        <f t="array" ref="BF21">SUMPRODUCT($E$9:$N$9,$E$23:$N$23)</f>
        <v>10530</v>
      </c>
      <c r="BG21" s="29" cm="1">
        <f t="array" ref="BG21">_xlfn.LET(_xlpm.n,IF($AX$5="✔",$AZ$5,0),SUMPRODUCT($E$9:$N$9+BG$2*_xlpm.n,$E$23:$N$23))</f>
        <v>10530</v>
      </c>
      <c r="BH21" s="29" cm="1">
        <f t="array" ref="BH21">_xlfn.LET(_xlpm.n,IF($AX$5="✔",$AZ$5,0),SUMPRODUCT($E$9:$N$9+BH$2*_xlpm.n,$E$23:$N$23))</f>
        <v>10530</v>
      </c>
      <c r="BI21" s="29" cm="1">
        <f t="array" ref="BI21">_xlfn.LET(_xlpm.n,IF($AX$5="✔",$AZ$5,0),SUMPRODUCT($E$9:$N$9+BI$2*_xlpm.n,$E$23:$N$23))</f>
        <v>10530</v>
      </c>
      <c r="BJ21" s="29" cm="1">
        <f t="array" ref="BJ21">_xlfn.LET(_xlpm.n,IF($AX$5="✔",$AZ$5,0),SUMPRODUCT($E$9:$N$9+BJ$2*_xlpm.n,$E$23:$N$23))</f>
        <v>10530</v>
      </c>
      <c r="BK21" s="29" cm="1">
        <f t="array" ref="BK21">_xlfn.LET(_xlpm.n,IF($AX$5="✔",$AZ$5,0),SUMPRODUCT($E$9:$N$9+BK$2*_xlpm.n,$E$23:$N$23))</f>
        <v>10530</v>
      </c>
    </row>
    <row r="22" spans="1:63">
      <c r="A22" s="15" t="s">
        <v>15</v>
      </c>
      <c r="B22" s="16" t="s">
        <v>110</v>
      </c>
      <c r="C22" s="17" t="s">
        <v>111</v>
      </c>
      <c r="D22" s="17"/>
      <c r="E22" s="36">
        <v>1500</v>
      </c>
      <c r="F22" s="52"/>
      <c r="G22" s="52"/>
      <c r="H22" s="52"/>
      <c r="I22" s="52"/>
      <c r="J22" s="52"/>
      <c r="K22" s="52"/>
      <c r="L22" s="52"/>
      <c r="M22" s="52"/>
      <c r="N22" s="52"/>
      <c r="Q22" s="19" t="s">
        <v>26</v>
      </c>
      <c r="R22" s="20">
        <f>$E$4*$I$7*$I$8*$I$9</f>
        <v>0</v>
      </c>
      <c r="S22" s="51">
        <f>SUM($W$41:$W$49)</f>
        <v>0</v>
      </c>
      <c r="T22" s="51">
        <f>SUM($W$50:$W$55)</f>
        <v>0</v>
      </c>
      <c r="U22" s="51">
        <f>SUM($W$56:$W$57)</f>
        <v>0</v>
      </c>
      <c r="V22" s="29">
        <f>MAX(0,W58-W59)</f>
        <v>0</v>
      </c>
      <c r="W22" s="51">
        <f t="shared" si="35"/>
        <v>0</v>
      </c>
      <c r="AE22" s="27"/>
      <c r="AF22" s="37"/>
      <c r="AG22" s="53" t="s">
        <v>17</v>
      </c>
      <c r="AH22" s="54" t="s">
        <v>112</v>
      </c>
      <c r="AI22" s="55"/>
      <c r="AJ22" s="55">
        <f t="shared" ref="AJ22:AU22" si="40">AJ3*0.09/1.09</f>
        <v>14223.3027522936</v>
      </c>
      <c r="AK22" s="55">
        <f t="shared" si="40"/>
        <v>14223.3027522936</v>
      </c>
      <c r="AL22" s="55">
        <f t="shared" si="40"/>
        <v>14223.3027522936</v>
      </c>
      <c r="AM22" s="55">
        <f t="shared" si="40"/>
        <v>14223.3027522936</v>
      </c>
      <c r="AN22" s="55">
        <f t="shared" si="40"/>
        <v>14223.3027522936</v>
      </c>
      <c r="AO22" s="55">
        <f t="shared" si="40"/>
        <v>14223.3027522936</v>
      </c>
      <c r="AP22" s="55">
        <f t="shared" si="40"/>
        <v>14223.3027522936</v>
      </c>
      <c r="AQ22" s="55">
        <f t="shared" si="40"/>
        <v>14223.3027522936</v>
      </c>
      <c r="AR22" s="55">
        <f t="shared" si="40"/>
        <v>14223.3027522936</v>
      </c>
      <c r="AS22" s="55">
        <f t="shared" si="40"/>
        <v>14223.3027522936</v>
      </c>
      <c r="AT22" s="55">
        <f t="shared" si="40"/>
        <v>0</v>
      </c>
      <c r="AU22" s="55">
        <f t="shared" si="40"/>
        <v>0</v>
      </c>
      <c r="AX22" s="28"/>
      <c r="AY22" s="28"/>
      <c r="AZ22" s="35" t="s">
        <v>94</v>
      </c>
      <c r="BA22" s="29" cm="1">
        <f t="array" ref="BA22">_xlfn.LET(_xlpm.n,IF($AX$5="✔",$AZ$5,0),SUMPRODUCT($E$9:$N$9+BA$2*_xlpm.n,$E$24:$N$24))</f>
        <v>0</v>
      </c>
      <c r="BB22" s="29" cm="1">
        <f t="array" ref="BB22">_xlfn.LET(_xlpm.n,IF($AX$5="✔",$AZ$5,0),SUMPRODUCT($E$9:$N$9+BB$2*_xlpm.n,$E$24:$N$24))</f>
        <v>0</v>
      </c>
      <c r="BC22" s="29" cm="1">
        <f t="array" ref="BC22">_xlfn.LET(_xlpm.n,IF($AX$5="✔",$AZ$5,0),SUMPRODUCT($E$9:$N$9+BC$2*_xlpm.n,$E$24:$N$24))</f>
        <v>0</v>
      </c>
      <c r="BD22" s="29" cm="1">
        <f t="array" ref="BD22">_xlfn.LET(_xlpm.n,IF($AX$5="✔",$AZ$5,0),SUMPRODUCT($E$9:$N$9+BD$2*_xlpm.n,$E$24:$N$24))</f>
        <v>0</v>
      </c>
      <c r="BE22" s="29" cm="1">
        <f t="array" ref="BE22">_xlfn.LET(_xlpm.n,IF($AX$5="✔",$AZ$5,0),SUMPRODUCT($E$9:$N$9+BE$2*_xlpm.n,$E$24:$N$24))</f>
        <v>0</v>
      </c>
      <c r="BF22" s="29" cm="1">
        <f t="array" ref="BF22">SUMPRODUCT($E$9:$N$9,$E$24:$N$24)</f>
        <v>0</v>
      </c>
      <c r="BG22" s="29" cm="1">
        <f t="array" ref="BG22">_xlfn.LET(_xlpm.n,IF($AX$5="✔",$AZ$5,0),SUMPRODUCT($E$9:$N$9+BG$2*_xlpm.n,$E$24:$N$24))</f>
        <v>0</v>
      </c>
      <c r="BH22" s="29" cm="1">
        <f t="array" ref="BH22">_xlfn.LET(_xlpm.n,IF($AX$5="✔",$AZ$5,0),SUMPRODUCT($E$9:$N$9+BH$2*_xlpm.n,$E$24:$N$24))</f>
        <v>0</v>
      </c>
      <c r="BI22" s="29" cm="1">
        <f t="array" ref="BI22">_xlfn.LET(_xlpm.n,IF($AX$5="✔",$AZ$5,0),SUMPRODUCT($E$9:$N$9+BI$2*_xlpm.n,$E$24:$N$24))</f>
        <v>0</v>
      </c>
      <c r="BJ22" s="29" cm="1">
        <f t="array" ref="BJ22">_xlfn.LET(_xlpm.n,IF($AX$5="✔",$AZ$5,0),SUMPRODUCT($E$9:$N$9+BJ$2*_xlpm.n,$E$24:$N$24))</f>
        <v>0</v>
      </c>
      <c r="BK22" s="29" cm="1">
        <f t="array" ref="BK22">_xlfn.LET(_xlpm.n,IF($AX$5="✔",$AZ$5,0),SUMPRODUCT($E$9:$N$9+BK$2*_xlpm.n,$E$24:$N$24))</f>
        <v>0</v>
      </c>
    </row>
    <row r="23" spans="1:63">
      <c r="A23" s="15"/>
      <c r="B23" s="16" t="s">
        <v>113</v>
      </c>
      <c r="C23" s="17" t="s">
        <v>114</v>
      </c>
      <c r="D23" s="17"/>
      <c r="E23" s="36">
        <v>1170</v>
      </c>
      <c r="F23" s="52"/>
      <c r="G23" s="52"/>
      <c r="H23" s="52"/>
      <c r="I23" s="52"/>
      <c r="J23" s="52"/>
      <c r="K23" s="52"/>
      <c r="L23" s="52"/>
      <c r="M23" s="52"/>
      <c r="N23" s="52"/>
      <c r="Q23" s="19" t="s">
        <v>27</v>
      </c>
      <c r="R23" s="20">
        <f>$E$4*$J$7*$J$8*$J$9</f>
        <v>0</v>
      </c>
      <c r="S23" s="51">
        <f>SUM($X$41:$X$49)</f>
        <v>0</v>
      </c>
      <c r="T23" s="51">
        <f>SUM($X$50:$X$55)</f>
        <v>0</v>
      </c>
      <c r="U23" s="51">
        <f>SUM($X$56:$X$57)</f>
        <v>0</v>
      </c>
      <c r="V23" s="29">
        <f>MAX(0,X58-X59)</f>
        <v>0</v>
      </c>
      <c r="W23" s="51">
        <f t="shared" si="35"/>
        <v>0</v>
      </c>
      <c r="AE23" s="27"/>
      <c r="AF23" s="27"/>
      <c r="AG23" s="28"/>
      <c r="AH23" s="56" t="s">
        <v>115</v>
      </c>
      <c r="AI23" s="57">
        <f>AI4*0.13/1.13</f>
        <v>0</v>
      </c>
      <c r="AJ23" s="57">
        <f t="shared" ref="AJ23:AU23" si="41">(AJ5+AJ18+AJ19)*0.13/1.13+AJ10*0.06/1.06</f>
        <v>7101.44431925196</v>
      </c>
      <c r="AK23" s="57">
        <f t="shared" si="41"/>
        <v>7101.44431925196</v>
      </c>
      <c r="AL23" s="57">
        <f t="shared" si="41"/>
        <v>7101.44431925196</v>
      </c>
      <c r="AM23" s="57">
        <f t="shared" si="41"/>
        <v>7101.44431925196</v>
      </c>
      <c r="AN23" s="57">
        <f t="shared" si="41"/>
        <v>7101.44431925196</v>
      </c>
      <c r="AO23" s="57">
        <f t="shared" si="41"/>
        <v>7101.44431925196</v>
      </c>
      <c r="AP23" s="57">
        <f t="shared" si="41"/>
        <v>7101.44431925196</v>
      </c>
      <c r="AQ23" s="57">
        <f t="shared" si="41"/>
        <v>7101.44431925196</v>
      </c>
      <c r="AR23" s="57">
        <f t="shared" si="41"/>
        <v>7101.44431925196</v>
      </c>
      <c r="AS23" s="57">
        <f t="shared" si="41"/>
        <v>7101.44431925196</v>
      </c>
      <c r="AT23" s="57">
        <f t="shared" si="41"/>
        <v>3481.2489564201</v>
      </c>
      <c r="AU23" s="57">
        <f t="shared" si="41"/>
        <v>3481.2489564201</v>
      </c>
      <c r="AX23" s="28"/>
      <c r="AY23" s="28"/>
      <c r="AZ23" s="35" t="s">
        <v>97</v>
      </c>
      <c r="BA23" s="29" cm="1">
        <f t="array" ref="BA23">_xlfn.LET(_xlpm.n,IF($AX$5="✔",$AZ$5,0),SUMPRODUCT($E$9:$N$9+BA$2*_xlpm.n,$E$25:$N$25))</f>
        <v>3600</v>
      </c>
      <c r="BB23" s="29" cm="1">
        <f t="array" ref="BB23">_xlfn.LET(_xlpm.n,IF($AX$5="✔",$AZ$5,0),SUMPRODUCT($E$9:$N$9+BB$2*_xlpm.n,$E$25:$N$25))</f>
        <v>3600</v>
      </c>
      <c r="BC23" s="29" cm="1">
        <f t="array" ref="BC23">_xlfn.LET(_xlpm.n,IF($AX$5="✔",$AZ$5,0),SUMPRODUCT($E$9:$N$9+BC$2*_xlpm.n,$E$25:$N$25))</f>
        <v>3600</v>
      </c>
      <c r="BD23" s="29" cm="1">
        <f t="array" ref="BD23">_xlfn.LET(_xlpm.n,IF($AX$5="✔",$AZ$5,0),SUMPRODUCT($E$9:$N$9+BD$2*_xlpm.n,$E$25:$N$25))</f>
        <v>3600</v>
      </c>
      <c r="BE23" s="29" cm="1">
        <f t="array" ref="BE23">_xlfn.LET(_xlpm.n,IF($AX$5="✔",$AZ$5,0),SUMPRODUCT($E$9:$N$9+BE$2*_xlpm.n,$E$25:$N$25))</f>
        <v>3600</v>
      </c>
      <c r="BF23" s="29" cm="1">
        <f t="array" ref="BF23">SUMPRODUCT($E$9:$N$9,$E$25:$N$25)</f>
        <v>3600</v>
      </c>
      <c r="BG23" s="29" cm="1">
        <f t="array" ref="BG23">_xlfn.LET(_xlpm.n,IF($AX$5="✔",$AZ$5,0),SUMPRODUCT($E$9:$N$9+BG$2*_xlpm.n,$E$25:$N$25))</f>
        <v>3600</v>
      </c>
      <c r="BH23" s="29" cm="1">
        <f t="array" ref="BH23">_xlfn.LET(_xlpm.n,IF($AX$5="✔",$AZ$5,0),SUMPRODUCT($E$9:$N$9+BH$2*_xlpm.n,$E$25:$N$25))</f>
        <v>3600</v>
      </c>
      <c r="BI23" s="29" cm="1">
        <f t="array" ref="BI23">_xlfn.LET(_xlpm.n,IF($AX$5="✔",$AZ$5,0),SUMPRODUCT($E$9:$N$9+BI$2*_xlpm.n,$E$25:$N$25))</f>
        <v>3600</v>
      </c>
      <c r="BJ23" s="29" cm="1">
        <f t="array" ref="BJ23">_xlfn.LET(_xlpm.n,IF($AX$5="✔",$AZ$5,0),SUMPRODUCT($E$9:$N$9+BJ$2*_xlpm.n,$E$25:$N$25))</f>
        <v>3600</v>
      </c>
      <c r="BK23" s="29" cm="1">
        <f t="array" ref="BK23">_xlfn.LET(_xlpm.n,IF($AX$5="✔",$AZ$5,0),SUMPRODUCT($E$9:$N$9+BK$2*_xlpm.n,$E$25:$N$25))</f>
        <v>3600</v>
      </c>
    </row>
    <row r="24" spans="1:63">
      <c r="A24" s="15"/>
      <c r="B24" s="16" t="s">
        <v>116</v>
      </c>
      <c r="C24" s="17" t="s">
        <v>117</v>
      </c>
      <c r="D24" s="17"/>
      <c r="E24" s="36"/>
      <c r="F24" s="52"/>
      <c r="G24" s="52"/>
      <c r="H24" s="52"/>
      <c r="I24" s="52"/>
      <c r="J24" s="52"/>
      <c r="K24" s="52"/>
      <c r="L24" s="52"/>
      <c r="M24" s="52"/>
      <c r="N24" s="52"/>
      <c r="Q24" s="19" t="s">
        <v>28</v>
      </c>
      <c r="R24" s="20">
        <f>$E$4*$K$7*$K$8*$K$9</f>
        <v>0</v>
      </c>
      <c r="S24" s="51">
        <f>SUM($Y$41:$Y$49)</f>
        <v>0</v>
      </c>
      <c r="T24" s="51">
        <f>SUM($Y$50:$Y$55)</f>
        <v>0</v>
      </c>
      <c r="U24" s="51">
        <f>SUM($Y$56:$Y$57)</f>
        <v>0</v>
      </c>
      <c r="V24" s="29">
        <f>MAX(0,Y58-Y59)</f>
        <v>0</v>
      </c>
      <c r="W24" s="51">
        <f t="shared" si="35"/>
        <v>0</v>
      </c>
      <c r="AE24" s="27"/>
      <c r="AF24" s="27"/>
      <c r="AG24" s="22"/>
      <c r="AH24" s="50" t="s">
        <v>118</v>
      </c>
      <c r="AI24" s="24">
        <f t="shared" ref="AI24:AU24" si="42">AI22-AI23</f>
        <v>0</v>
      </c>
      <c r="AJ24" s="24">
        <f t="shared" si="42"/>
        <v>7121.85843304161</v>
      </c>
      <c r="AK24" s="24">
        <f t="shared" si="42"/>
        <v>7121.85843304161</v>
      </c>
      <c r="AL24" s="24">
        <f t="shared" si="42"/>
        <v>7121.85843304161</v>
      </c>
      <c r="AM24" s="24">
        <f t="shared" si="42"/>
        <v>7121.85843304161</v>
      </c>
      <c r="AN24" s="24">
        <f t="shared" si="42"/>
        <v>7121.85843304161</v>
      </c>
      <c r="AO24" s="24">
        <f t="shared" si="42"/>
        <v>7121.85843304161</v>
      </c>
      <c r="AP24" s="24">
        <f t="shared" si="42"/>
        <v>7121.85843304161</v>
      </c>
      <c r="AQ24" s="24">
        <f t="shared" si="42"/>
        <v>7121.85843304161</v>
      </c>
      <c r="AR24" s="24">
        <f t="shared" si="42"/>
        <v>7121.85843304161</v>
      </c>
      <c r="AS24" s="24">
        <f t="shared" si="42"/>
        <v>7121.85843304161</v>
      </c>
      <c r="AT24" s="24">
        <f t="shared" si="42"/>
        <v>-3481.2489564201</v>
      </c>
      <c r="AU24" s="24">
        <f t="shared" si="42"/>
        <v>-3481.2489564201</v>
      </c>
      <c r="AX24" s="28"/>
      <c r="AY24" s="28"/>
      <c r="AZ24" s="35" t="s">
        <v>100</v>
      </c>
      <c r="BA24" s="29" cm="1">
        <f t="array" ref="BA24">_xlfn.LET(_xlpm.n,IF($AX$5="✔",$AZ$5,0),BA$3*SUMPRODUCT(IF($E$8:$N$8,BA$7,$E$33),$E$6:$N$6,$E$9:$N$9+BA$2*_xlpm.n))</f>
        <v>11088.576</v>
      </c>
      <c r="BB24" s="29" cm="1">
        <f t="array" ref="BB24">_xlfn.LET(_xlpm.n,IF($AX$5="✔",$AZ$5,0),BB$3*SUMPRODUCT(IF($E$8:$N$8,BB$7,$E$33),$E$6:$N$6,$E$9:$N$9+BB$2*_xlpm.n))</f>
        <v>11409.984</v>
      </c>
      <c r="BC24" s="29" cm="1">
        <f t="array" ref="BC24">_xlfn.LET(_xlpm.n,IF($AX$5="✔",$AZ$5,0),BC$3*SUMPRODUCT(IF($E$8:$N$8,BC$7,$E$33),$E$6:$N$6,$E$9:$N$9+BC$2*_xlpm.n))</f>
        <v>11731.392</v>
      </c>
      <c r="BD24" s="29" cm="1">
        <f t="array" ref="BD24">_xlfn.LET(_xlpm.n,IF($AX$5="✔",$AZ$5,0),BD$3*SUMPRODUCT(IF($E$8:$N$8,BD$7,$E$33),$E$6:$N$6,$E$9:$N$9+BD$2*_xlpm.n))</f>
        <v>12052.8</v>
      </c>
      <c r="BE24" s="29" cm="1">
        <f t="array" ref="BE24">_xlfn.LET(_xlpm.n,IF($AX$5="✔",$AZ$5,0),BE$3*SUMPRODUCT(IF($E$8:$N$8,BE$7,$E$33),$E$6:$N$6,$E$9:$N$9+BE$2*_xlpm.n))</f>
        <v>12374.208</v>
      </c>
      <c r="BF24" s="29" cm="1">
        <f t="array" ref="BF24">$E$5*SUMPRODUCT(IF($E$8:$N$8,$E$32,$E$33),$E$6:$N$6,$E$9:$N$9)</f>
        <v>12695.616</v>
      </c>
      <c r="BG24" s="29" cm="1">
        <f t="array" ref="BG24">_xlfn.LET(_xlpm.n,IF($AX$5="✔",$AZ$5,0),BG$3*SUMPRODUCT(IF($E$8:$N$8,BG$7,$E$33),$E$6:$N$6,$E$9:$N$9+BG$2*_xlpm.n))</f>
        <v>13017.024</v>
      </c>
      <c r="BH24" s="29" cm="1">
        <f t="array" ref="BH24">_xlfn.LET(_xlpm.n,IF($AX$5="✔",$AZ$5,0),BH$3*SUMPRODUCT(IF($E$8:$N$8,BH$7,$E$33),$E$6:$N$6,$E$9:$N$9+BH$2*_xlpm.n))</f>
        <v>13338.432</v>
      </c>
      <c r="BI24" s="29" cm="1">
        <f t="array" ref="BI24">_xlfn.LET(_xlpm.n,IF($AX$5="✔",$AZ$5,0),BI$3*SUMPRODUCT(IF($E$8:$N$8,BI$7,$E$33),$E$6:$N$6,$E$9:$N$9+BI$2*_xlpm.n))</f>
        <v>13659.84</v>
      </c>
      <c r="BJ24" s="29" cm="1">
        <f t="array" ref="BJ24">_xlfn.LET(_xlpm.n,IF($AX$5="✔",$AZ$5,0),BJ$3*SUMPRODUCT(IF($E$8:$N$8,BJ$7,$E$33),$E$6:$N$6,$E$9:$N$9+BJ$2*_xlpm.n))</f>
        <v>13981.248</v>
      </c>
      <c r="BK24" s="29" cm="1">
        <f t="array" ref="BK24">_xlfn.LET(_xlpm.n,IF($AX$5="✔",$AZ$5,0),BK$3*SUMPRODUCT(IF($E$8:$N$8,BK$7,$E$33),$E$6:$N$6,$E$9:$N$9+BK$2*_xlpm.n))</f>
        <v>14302.656</v>
      </c>
    </row>
    <row r="25" ht="16.5" spans="1:63">
      <c r="A25" s="15"/>
      <c r="B25" s="16" t="s">
        <v>119</v>
      </c>
      <c r="C25" s="17" t="s">
        <v>120</v>
      </c>
      <c r="D25" s="17"/>
      <c r="E25" s="36">
        <v>400</v>
      </c>
      <c r="F25" s="52"/>
      <c r="G25" s="52"/>
      <c r="H25" s="52"/>
      <c r="I25" s="52"/>
      <c r="J25" s="52"/>
      <c r="K25" s="52"/>
      <c r="L25" s="52"/>
      <c r="M25" s="52"/>
      <c r="N25" s="52"/>
      <c r="Q25" s="19" t="s">
        <v>29</v>
      </c>
      <c r="R25" s="20">
        <f>$E$4*$L$7*$L$8*$L$9</f>
        <v>0</v>
      </c>
      <c r="S25" s="51">
        <f>SUM($Z$41:$Z$49)</f>
        <v>0</v>
      </c>
      <c r="T25" s="51">
        <f>SUM($Z$50:$Z$55)</f>
        <v>0</v>
      </c>
      <c r="U25" s="51">
        <f>SUM($Z$56:$Z$57)</f>
        <v>0</v>
      </c>
      <c r="V25" s="29">
        <f>MAX(0,Z58-Z59)</f>
        <v>0</v>
      </c>
      <c r="W25" s="51">
        <f t="shared" si="35"/>
        <v>0</v>
      </c>
      <c r="AE25" s="33"/>
      <c r="AF25" s="33"/>
      <c r="AG25" s="48" t="s">
        <v>121</v>
      </c>
      <c r="AH25" s="48"/>
      <c r="AI25" s="58">
        <f>-AI4+AI24</f>
        <v>0</v>
      </c>
      <c r="AJ25" s="58">
        <f t="shared" ref="AJ25:AU25" si="43">AJ3-SUM(AJ5:AJ21)-AJ24</f>
        <v>29926.1270969584</v>
      </c>
      <c r="AK25" s="58">
        <f t="shared" si="43"/>
        <v>29926.1270969584</v>
      </c>
      <c r="AL25" s="58">
        <f t="shared" si="43"/>
        <v>29926.1270969584</v>
      </c>
      <c r="AM25" s="58">
        <f t="shared" si="43"/>
        <v>29926.1270969584</v>
      </c>
      <c r="AN25" s="58">
        <f t="shared" si="43"/>
        <v>29926.1270969584</v>
      </c>
      <c r="AO25" s="58">
        <f t="shared" si="43"/>
        <v>29926.1270969584</v>
      </c>
      <c r="AP25" s="58">
        <f t="shared" si="43"/>
        <v>29926.1270969584</v>
      </c>
      <c r="AQ25" s="58">
        <f t="shared" si="43"/>
        <v>29926.1270969584</v>
      </c>
      <c r="AR25" s="58">
        <f t="shared" si="43"/>
        <v>29926.1270969584</v>
      </c>
      <c r="AS25" s="58">
        <f t="shared" si="43"/>
        <v>29926.1270969584</v>
      </c>
      <c r="AT25" s="58">
        <f t="shared" si="43"/>
        <v>-44497.0010435799</v>
      </c>
      <c r="AU25" s="58">
        <f t="shared" si="43"/>
        <v>-44497.0010435799</v>
      </c>
      <c r="AX25" s="22"/>
      <c r="AY25" s="22"/>
      <c r="AZ25" s="23" t="s">
        <v>103</v>
      </c>
      <c r="BA25" s="24" cm="1">
        <f t="array" ref="BA25">_xlfn.LET(_xlpm.n,IF($AX$5="✔",$AZ$5,0),SUMPRODUCT($E$6:$N$6,$E$9:$N$9+BA$2*_xlpm.n)/$E$29*$E$30*$E$31)</f>
        <v>3038.31</v>
      </c>
      <c r="BB25" s="24" cm="1">
        <f t="array" ref="BB25">_xlfn.LET(_xlpm.n,IF($AX$5="✔",$AZ$5,0),SUMPRODUCT($E$6:$N$6,$E$9:$N$9+BB$2*_xlpm.n)/$E$29*$E$30*$E$31)</f>
        <v>3038.31</v>
      </c>
      <c r="BC25" s="24" cm="1">
        <f t="array" ref="BC25">_xlfn.LET(_xlpm.n,IF($AX$5="✔",$AZ$5,0),SUMPRODUCT($E$6:$N$6,$E$9:$N$9+BC$2*_xlpm.n)/$E$29*$E$30*$E$31)</f>
        <v>3038.31</v>
      </c>
      <c r="BD25" s="24" cm="1">
        <f t="array" ref="BD25">_xlfn.LET(_xlpm.n,IF($AX$5="✔",$AZ$5,0),SUMPRODUCT($E$6:$N$6,$E$9:$N$9+BD$2*_xlpm.n)/$E$29*$E$30*$E$31)</f>
        <v>3038.31</v>
      </c>
      <c r="BE25" s="24" cm="1">
        <f t="array" ref="BE25">_xlfn.LET(_xlpm.n,IF($AX$5="✔",$AZ$5,0),SUMPRODUCT($E$6:$N$6,$E$9:$N$9+BE$2*_xlpm.n)/$E$29*$E$30*$E$31)</f>
        <v>3038.31</v>
      </c>
      <c r="BF25" s="24" cm="1">
        <f t="array" ref="BF25">SUMPRODUCT($E$6:$N$6,$E$9:$N$9)/$E$29*$E$30*$E$31</f>
        <v>3038.31</v>
      </c>
      <c r="BG25" s="24" cm="1">
        <f t="array" ref="BG25">_xlfn.LET(_xlpm.n,IF($AX$5="✔",$AZ$5,0),SUMPRODUCT($E$6:$N$6,$E$9:$N$9+BG$2*_xlpm.n)/$E$29*$E$30*$E$31)</f>
        <v>3038.31</v>
      </c>
      <c r="BH25" s="24" cm="1">
        <f t="array" ref="BH25">_xlfn.LET(_xlpm.n,IF($AX$5="✔",$AZ$5,0),SUMPRODUCT($E$6:$N$6,$E$9:$N$9+BH$2*_xlpm.n)/$E$29*$E$30*$E$31)</f>
        <v>3038.31</v>
      </c>
      <c r="BI25" s="24" cm="1">
        <f t="array" ref="BI25">_xlfn.LET(_xlpm.n,IF($AX$5="✔",$AZ$5,0),SUMPRODUCT($E$6:$N$6,$E$9:$N$9+BI$2*_xlpm.n)/$E$29*$E$30*$E$31)</f>
        <v>3038.31</v>
      </c>
      <c r="BJ25" s="24" cm="1">
        <f t="array" ref="BJ25">_xlfn.LET(_xlpm.n,IF($AX$5="✔",$AZ$5,0),SUMPRODUCT($E$6:$N$6,$E$9:$N$9+BJ$2*_xlpm.n)/$E$29*$E$30*$E$31)</f>
        <v>3038.31</v>
      </c>
      <c r="BK25" s="24" cm="1">
        <f t="array" ref="BK25">_xlfn.LET(_xlpm.n,IF($AX$5="✔",$AZ$5,0),SUMPRODUCT($E$6:$N$6,$E$9:$N$9+BK$2*_xlpm.n)/$E$29*$E$30*$E$31)</f>
        <v>3038.31</v>
      </c>
    </row>
    <row r="26" ht="16.5" spans="1:63">
      <c r="A26" s="15" t="s">
        <v>16</v>
      </c>
      <c r="B26" s="16" t="s">
        <v>122</v>
      </c>
      <c r="C26" s="17" t="s">
        <v>123</v>
      </c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9" t="s">
        <v>30</v>
      </c>
      <c r="R26" s="20">
        <f>$E$4*$M$7*$M$8*$M$9</f>
        <v>0</v>
      </c>
      <c r="S26" s="51">
        <f>SUM($Z$41:$Z$49)</f>
        <v>0</v>
      </c>
      <c r="T26" s="51">
        <f>SUM($AA$50:$AA$55)</f>
        <v>0</v>
      </c>
      <c r="U26" s="51">
        <f>SUM($AA$56:$AA$57)</f>
        <v>0</v>
      </c>
      <c r="V26" s="29">
        <f>MAX(0,AA58-AA59)</f>
        <v>0</v>
      </c>
      <c r="W26" s="51">
        <f t="shared" si="35"/>
        <v>0</v>
      </c>
      <c r="AE26" s="33"/>
      <c r="AF26" s="33"/>
      <c r="AG26" s="48" t="s">
        <v>124</v>
      </c>
      <c r="AH26" s="48"/>
      <c r="AI26" s="58">
        <f>SUM($AI$25:AI25)</f>
        <v>0</v>
      </c>
      <c r="AJ26" s="58">
        <f>SUM($AI$25:AJ25)</f>
        <v>29926.1270969584</v>
      </c>
      <c r="AK26" s="58">
        <f>SUM($AI$25:AK25)</f>
        <v>59852.2541939167</v>
      </c>
      <c r="AL26" s="58">
        <f>SUM($AI$25:AL25)</f>
        <v>89778.3812908751</v>
      </c>
      <c r="AM26" s="58">
        <f>SUM($AI$25:AM25)</f>
        <v>119704.508387833</v>
      </c>
      <c r="AN26" s="58">
        <f>SUM($AI$25:AN25)</f>
        <v>149630.635484792</v>
      </c>
      <c r="AO26" s="58">
        <f>SUM($AI$25:AO25)</f>
        <v>179556.76258175</v>
      </c>
      <c r="AP26" s="58">
        <f>SUM($AI$25:AP25)</f>
        <v>209482.889678709</v>
      </c>
      <c r="AQ26" s="58">
        <f>SUM($AI$25:AQ25)</f>
        <v>239409.016775667</v>
      </c>
      <c r="AR26" s="58">
        <f>SUM($AI$25:AR25)</f>
        <v>269335.143872625</v>
      </c>
      <c r="AS26" s="58">
        <f>SUM($AI$25:AS25)</f>
        <v>299261.270969584</v>
      </c>
      <c r="AT26" s="58">
        <f>SUM($AI$25:AT25)</f>
        <v>254764.269926004</v>
      </c>
      <c r="AU26" s="58">
        <f>SUM($AI$25:AU25)</f>
        <v>210267.268882424</v>
      </c>
      <c r="AX26" s="28" t="s">
        <v>16</v>
      </c>
      <c r="AY26" s="28"/>
      <c r="AZ26" s="35" t="s">
        <v>106</v>
      </c>
      <c r="BA26" s="29">
        <f t="shared" ref="BA26:BK26" si="44">BA9*$E$34/12*$E$26</f>
        <v>0</v>
      </c>
      <c r="BB26" s="29">
        <f t="shared" si="44"/>
        <v>0</v>
      </c>
      <c r="BC26" s="29">
        <f t="shared" si="44"/>
        <v>0</v>
      </c>
      <c r="BD26" s="29">
        <f t="shared" si="44"/>
        <v>0</v>
      </c>
      <c r="BE26" s="29">
        <f t="shared" si="44"/>
        <v>0</v>
      </c>
      <c r="BF26" s="29">
        <f t="shared" si="44"/>
        <v>0</v>
      </c>
      <c r="BG26" s="29">
        <f t="shared" si="44"/>
        <v>0</v>
      </c>
      <c r="BH26" s="29">
        <f t="shared" si="44"/>
        <v>0</v>
      </c>
      <c r="BI26" s="29">
        <f t="shared" si="44"/>
        <v>0</v>
      </c>
      <c r="BJ26" s="29">
        <f t="shared" si="44"/>
        <v>0</v>
      </c>
      <c r="BK26" s="29">
        <f t="shared" si="44"/>
        <v>0</v>
      </c>
    </row>
    <row r="27" spans="1:63">
      <c r="A27" s="15"/>
      <c r="B27" s="16" t="s">
        <v>125</v>
      </c>
      <c r="C27" s="17" t="s">
        <v>126</v>
      </c>
      <c r="D27" s="17"/>
      <c r="E27" s="18">
        <v>1</v>
      </c>
      <c r="F27" s="18"/>
      <c r="G27" s="18"/>
      <c r="H27" s="18"/>
      <c r="I27" s="18"/>
      <c r="J27" s="18"/>
      <c r="K27" s="18"/>
      <c r="L27" s="18"/>
      <c r="M27" s="18"/>
      <c r="N27" s="18"/>
      <c r="Q27" s="19" t="s">
        <v>31</v>
      </c>
      <c r="R27" s="20">
        <f>$E$4*$N$7*$N$8*$N$9</f>
        <v>0</v>
      </c>
      <c r="S27" s="51">
        <f>SUM($AB$41:$AB$49)</f>
        <v>0</v>
      </c>
      <c r="T27" s="51">
        <f>SUM($AB$50:$AB$55)</f>
        <v>0</v>
      </c>
      <c r="U27" s="51">
        <f>SUM($AB$56:$AB$57)</f>
        <v>0</v>
      </c>
      <c r="V27" s="29">
        <f>MAX(0,AB58-AB59)</f>
        <v>0</v>
      </c>
      <c r="W27" s="51">
        <f t="shared" si="35"/>
        <v>0</v>
      </c>
      <c r="AG27" s="48" t="s">
        <v>127</v>
      </c>
      <c r="AH27" s="48"/>
      <c r="AI27" s="59" t="e">
        <f>IRR(AI26:AU26)</f>
        <v>#NUM!</v>
      </c>
      <c r="AX27" s="22"/>
      <c r="AY27" s="22"/>
      <c r="AZ27" s="35" t="s">
        <v>109</v>
      </c>
      <c r="BA27" s="29">
        <f t="shared" ref="BA27:BE27" si="45">(BA$6*12/$E$10+SUM(BA12:BA25))*$E$35/12*$E$27</f>
        <v>400.031835</v>
      </c>
      <c r="BB27" s="29">
        <f t="shared" si="45"/>
        <v>404.006715</v>
      </c>
      <c r="BC27" s="29">
        <f t="shared" si="45"/>
        <v>407.981595</v>
      </c>
      <c r="BD27" s="29">
        <f t="shared" si="45"/>
        <v>411.956475</v>
      </c>
      <c r="BE27" s="29">
        <f t="shared" si="45"/>
        <v>415.931355</v>
      </c>
      <c r="BF27" s="29">
        <f>($E$13*12/$E$10+SUM(BF12:BF25))*$E$35/12*$E$27</f>
        <v>419.906235</v>
      </c>
      <c r="BG27" s="29">
        <f t="shared" ref="BG27:BK27" si="46">(BG$6*12/$E$10+SUM(BG12:BG25))*$E$35/12*$E$27</f>
        <v>423.881115</v>
      </c>
      <c r="BH27" s="29">
        <f t="shared" si="46"/>
        <v>427.855995</v>
      </c>
      <c r="BI27" s="29">
        <f t="shared" si="46"/>
        <v>431.830875</v>
      </c>
      <c r="BJ27" s="29">
        <f t="shared" si="46"/>
        <v>435.805755</v>
      </c>
      <c r="BK27" s="29">
        <f t="shared" si="46"/>
        <v>439.780635</v>
      </c>
    </row>
    <row r="28" spans="1:63">
      <c r="A28" s="60" t="s">
        <v>42</v>
      </c>
      <c r="B28" s="61" t="s">
        <v>128</v>
      </c>
      <c r="C28" s="62" t="s">
        <v>129</v>
      </c>
      <c r="D28" s="62"/>
      <c r="E28" s="63">
        <v>60</v>
      </c>
      <c r="F28" s="63"/>
      <c r="G28" s="63"/>
      <c r="H28" s="63"/>
      <c r="I28" s="63"/>
      <c r="J28" s="63"/>
      <c r="K28" s="63"/>
      <c r="L28" s="63"/>
      <c r="M28" s="63"/>
      <c r="N28" s="63"/>
      <c r="Q28" s="48" t="s">
        <v>84</v>
      </c>
      <c r="R28" s="49">
        <f t="shared" ref="R28:V28" si="47">SUM(R18:R27)</f>
        <v>172260</v>
      </c>
      <c r="S28" s="49">
        <f t="shared" si="47"/>
        <v>57240</v>
      </c>
      <c r="T28" s="49">
        <f t="shared" si="47"/>
        <v>86727.852</v>
      </c>
      <c r="U28" s="49">
        <f t="shared" si="47"/>
        <v>839.81247</v>
      </c>
      <c r="V28" s="49">
        <f t="shared" si="47"/>
        <v>6425.60864175759</v>
      </c>
      <c r="W28" s="49">
        <f t="shared" si="35"/>
        <v>21026.7268882424</v>
      </c>
      <c r="AG28" s="1" t="s">
        <v>130</v>
      </c>
      <c r="AX28" s="28" t="s">
        <v>17</v>
      </c>
      <c r="AY28" s="64"/>
      <c r="AZ28" s="65" t="s">
        <v>112</v>
      </c>
      <c r="BA28" s="55">
        <f t="shared" ref="BA28:BK28" si="48">BA9*0.09/1.09</f>
        <v>7111.65137614679</v>
      </c>
      <c r="BB28" s="55">
        <f t="shared" si="48"/>
        <v>7111.65137614679</v>
      </c>
      <c r="BC28" s="55">
        <f t="shared" si="48"/>
        <v>7111.65137614679</v>
      </c>
      <c r="BD28" s="55">
        <f t="shared" si="48"/>
        <v>7111.65137614679</v>
      </c>
      <c r="BE28" s="55">
        <f t="shared" si="48"/>
        <v>7111.65137614679</v>
      </c>
      <c r="BF28" s="55">
        <f t="shared" si="48"/>
        <v>7111.65137614679</v>
      </c>
      <c r="BG28" s="55">
        <f t="shared" si="48"/>
        <v>7111.65137614679</v>
      </c>
      <c r="BH28" s="55">
        <f t="shared" si="48"/>
        <v>7111.65137614679</v>
      </c>
      <c r="BI28" s="55">
        <f t="shared" si="48"/>
        <v>7111.65137614679</v>
      </c>
      <c r="BJ28" s="55">
        <f t="shared" si="48"/>
        <v>7111.65137614679</v>
      </c>
      <c r="BK28" s="55">
        <f t="shared" si="48"/>
        <v>7111.65137614679</v>
      </c>
    </row>
    <row r="29" spans="1:63">
      <c r="A29" s="60"/>
      <c r="B29" s="61" t="s">
        <v>131</v>
      </c>
      <c r="C29" s="62" t="s">
        <v>132</v>
      </c>
      <c r="D29" s="62"/>
      <c r="E29" s="63">
        <v>80000</v>
      </c>
      <c r="F29" s="63"/>
      <c r="G29" s="63"/>
      <c r="H29" s="63"/>
      <c r="I29" s="63"/>
      <c r="J29" s="63"/>
      <c r="K29" s="63"/>
      <c r="L29" s="63"/>
      <c r="M29" s="63"/>
      <c r="N29" s="63"/>
      <c r="Q29" s="1" t="s">
        <v>133</v>
      </c>
      <c r="R29" s="1"/>
      <c r="AX29" s="28"/>
      <c r="AY29" s="28"/>
      <c r="AZ29" s="66" t="s">
        <v>115</v>
      </c>
      <c r="BA29" s="57">
        <f t="shared" ref="BA29:BK29" si="49">(BA11+BA24+BA25)*0.13/1.13+BA16*0.06/1.06</f>
        <v>3506.88670128569</v>
      </c>
      <c r="BB29" s="57">
        <f t="shared" si="49"/>
        <v>3585.27877208215</v>
      </c>
      <c r="BC29" s="57">
        <f t="shared" si="49"/>
        <v>3663.67084287861</v>
      </c>
      <c r="BD29" s="57">
        <f t="shared" si="49"/>
        <v>3742.06291367507</v>
      </c>
      <c r="BE29" s="57">
        <f t="shared" si="49"/>
        <v>3820.45498447153</v>
      </c>
      <c r="BF29" s="57">
        <f t="shared" si="49"/>
        <v>3898.84705526799</v>
      </c>
      <c r="BG29" s="57">
        <f t="shared" si="49"/>
        <v>3977.23912606445</v>
      </c>
      <c r="BH29" s="57">
        <f t="shared" si="49"/>
        <v>4055.63119686091</v>
      </c>
      <c r="BI29" s="57">
        <f t="shared" si="49"/>
        <v>4134.02326765737</v>
      </c>
      <c r="BJ29" s="57">
        <f t="shared" si="49"/>
        <v>4212.41533845383</v>
      </c>
      <c r="BK29" s="57">
        <f t="shared" si="49"/>
        <v>4290.80740925029</v>
      </c>
    </row>
    <row r="30" spans="1:63">
      <c r="A30" s="60"/>
      <c r="B30" s="61" t="s">
        <v>134</v>
      </c>
      <c r="C30" s="62" t="s">
        <v>135</v>
      </c>
      <c r="D30" s="62"/>
      <c r="E30" s="63">
        <v>22</v>
      </c>
      <c r="F30" s="63"/>
      <c r="G30" s="63"/>
      <c r="H30" s="63"/>
      <c r="I30" s="63"/>
      <c r="J30" s="63"/>
      <c r="K30" s="63"/>
      <c r="L30" s="63"/>
      <c r="M30" s="63"/>
      <c r="N30" s="63"/>
      <c r="AE30" s="67"/>
      <c r="AF30" s="67"/>
      <c r="AX30" s="22"/>
      <c r="AY30" s="22"/>
      <c r="AZ30" s="23" t="s">
        <v>118</v>
      </c>
      <c r="BA30" s="24">
        <f t="shared" ref="BA30:BK30" si="50">MAX(0,BA28-BA29)</f>
        <v>3604.7646748611</v>
      </c>
      <c r="BB30" s="24">
        <f t="shared" si="50"/>
        <v>3526.37260406464</v>
      </c>
      <c r="BC30" s="24">
        <f t="shared" si="50"/>
        <v>3447.98053326818</v>
      </c>
      <c r="BD30" s="24">
        <f t="shared" si="50"/>
        <v>3369.58846247172</v>
      </c>
      <c r="BE30" s="24">
        <f t="shared" si="50"/>
        <v>3291.19639167526</v>
      </c>
      <c r="BF30" s="24">
        <f t="shared" si="50"/>
        <v>3212.8043208788</v>
      </c>
      <c r="BG30" s="24">
        <f t="shared" si="50"/>
        <v>3134.41225008234</v>
      </c>
      <c r="BH30" s="24">
        <f t="shared" si="50"/>
        <v>3056.02017928588</v>
      </c>
      <c r="BI30" s="24">
        <f t="shared" si="50"/>
        <v>2977.62810848942</v>
      </c>
      <c r="BJ30" s="24">
        <f t="shared" si="50"/>
        <v>2899.23603769296</v>
      </c>
      <c r="BK30" s="24">
        <f t="shared" si="50"/>
        <v>2820.8439668965</v>
      </c>
    </row>
    <row r="31" ht="16.5" spans="1:63">
      <c r="A31" s="60"/>
      <c r="B31" s="61" t="s">
        <v>136</v>
      </c>
      <c r="C31" s="62" t="s">
        <v>137</v>
      </c>
      <c r="D31" s="62"/>
      <c r="E31" s="63">
        <v>1100</v>
      </c>
      <c r="F31" s="63"/>
      <c r="G31" s="63"/>
      <c r="H31" s="63"/>
      <c r="I31" s="63"/>
      <c r="J31" s="63"/>
      <c r="K31" s="63"/>
      <c r="L31" s="63"/>
      <c r="M31" s="63"/>
      <c r="N31" s="63"/>
      <c r="AE31" s="29"/>
      <c r="AF31" s="29"/>
      <c r="AX31" s="44" t="s">
        <v>138</v>
      </c>
      <c r="AY31" s="44"/>
      <c r="AZ31" s="44"/>
      <c r="BA31" s="45">
        <f t="shared" ref="BA31:BK31" si="51">SUM(BA11:BA27)+MAX(0,BA28-BA29)</f>
        <v>72581.6825098611</v>
      </c>
      <c r="BB31" s="45">
        <f t="shared" si="51"/>
        <v>73188.6733190646</v>
      </c>
      <c r="BC31" s="45">
        <f t="shared" si="51"/>
        <v>73795.6641282682</v>
      </c>
      <c r="BD31" s="45">
        <f t="shared" si="51"/>
        <v>74402.6549374717</v>
      </c>
      <c r="BE31" s="45">
        <f t="shared" si="51"/>
        <v>75009.6457466752</v>
      </c>
      <c r="BF31" s="45">
        <f t="shared" si="51"/>
        <v>75616.6365558788</v>
      </c>
      <c r="BG31" s="45">
        <f t="shared" si="51"/>
        <v>76223.6273650823</v>
      </c>
      <c r="BH31" s="45">
        <f t="shared" si="51"/>
        <v>76830.6181742859</v>
      </c>
      <c r="BI31" s="45">
        <f t="shared" si="51"/>
        <v>77437.6089834894</v>
      </c>
      <c r="BJ31" s="45">
        <f t="shared" si="51"/>
        <v>78044.5997926929</v>
      </c>
      <c r="BK31" s="45">
        <f t="shared" si="51"/>
        <v>78651.5906018965</v>
      </c>
    </row>
    <row r="32" ht="16.5" spans="1:63">
      <c r="A32" s="60"/>
      <c r="B32" s="61" t="s">
        <v>65</v>
      </c>
      <c r="C32" s="62" t="s">
        <v>139</v>
      </c>
      <c r="D32" s="62"/>
      <c r="E32" s="63">
        <v>1.6</v>
      </c>
      <c r="F32" s="63"/>
      <c r="G32" s="63"/>
      <c r="H32" s="63"/>
      <c r="I32" s="63"/>
      <c r="J32" s="63"/>
      <c r="K32" s="63"/>
      <c r="L32" s="63"/>
      <c r="M32" s="63"/>
      <c r="N32" s="63"/>
      <c r="Q32" s="28"/>
      <c r="AE32" s="29"/>
      <c r="AF32" s="29"/>
      <c r="AX32" s="68" t="s">
        <v>140</v>
      </c>
      <c r="AY32" s="69"/>
      <c r="AZ32" s="69"/>
      <c r="BA32" s="70">
        <f t="shared" ref="BA32:BK32" si="52">BA9-BA31</f>
        <v>13548.3174901389</v>
      </c>
      <c r="BB32" s="70">
        <f t="shared" si="52"/>
        <v>12941.3266809354</v>
      </c>
      <c r="BC32" s="70">
        <f t="shared" si="52"/>
        <v>12334.3358717318</v>
      </c>
      <c r="BD32" s="70">
        <f t="shared" si="52"/>
        <v>11727.3450625283</v>
      </c>
      <c r="BE32" s="70">
        <f t="shared" si="52"/>
        <v>11120.3542533248</v>
      </c>
      <c r="BF32" s="70">
        <f t="shared" si="52"/>
        <v>10513.3634441212</v>
      </c>
      <c r="BG32" s="70">
        <f t="shared" si="52"/>
        <v>9906.37263491766</v>
      </c>
      <c r="BH32" s="70">
        <f t="shared" si="52"/>
        <v>9299.38182571412</v>
      </c>
      <c r="BI32" s="70">
        <f t="shared" si="52"/>
        <v>8692.39101651059</v>
      </c>
      <c r="BJ32" s="70">
        <f t="shared" si="52"/>
        <v>8085.40020730706</v>
      </c>
      <c r="BK32" s="70">
        <f t="shared" si="52"/>
        <v>7478.4093981035</v>
      </c>
    </row>
    <row r="33" spans="1:63">
      <c r="A33" s="60"/>
      <c r="B33" s="61" t="s">
        <v>141</v>
      </c>
      <c r="C33" s="62" t="s">
        <v>142</v>
      </c>
      <c r="D33" s="62"/>
      <c r="E33" s="63">
        <v>1.1</v>
      </c>
      <c r="F33" s="63"/>
      <c r="G33" s="63"/>
      <c r="H33" s="63"/>
      <c r="I33" s="63"/>
      <c r="J33" s="63"/>
      <c r="K33" s="63"/>
      <c r="L33" s="63"/>
      <c r="M33" s="63"/>
      <c r="N33" s="63"/>
      <c r="Q33" s="64"/>
      <c r="AE33" s="29"/>
      <c r="AF33" s="29"/>
      <c r="AX33" s="1" t="s">
        <v>143</v>
      </c>
      <c r="AZ33" s="2"/>
      <c r="BB33" s="71"/>
      <c r="BC33" s="71"/>
      <c r="BD33" s="71"/>
      <c r="BE33" s="71"/>
      <c r="BF33" s="71"/>
      <c r="BG33" s="71"/>
      <c r="BH33" s="71"/>
      <c r="BI33" s="71"/>
      <c r="BJ33" s="71"/>
      <c r="BK33" s="71"/>
    </row>
    <row r="34" spans="1:63">
      <c r="A34" s="60"/>
      <c r="B34" s="61" t="s">
        <v>144</v>
      </c>
      <c r="C34" s="62" t="s">
        <v>145</v>
      </c>
      <c r="D34" s="62"/>
      <c r="E34" s="72">
        <v>0.04</v>
      </c>
      <c r="F34" s="72"/>
      <c r="G34" s="72"/>
      <c r="H34" s="72"/>
      <c r="I34" s="72"/>
      <c r="J34" s="72"/>
      <c r="K34" s="72"/>
      <c r="L34" s="72"/>
      <c r="M34" s="72"/>
      <c r="N34" s="72"/>
      <c r="P34" s="71"/>
      <c r="Q34" s="64"/>
      <c r="AE34" s="29"/>
      <c r="AF34" s="73"/>
    </row>
    <row r="35" spans="1:63">
      <c r="A35" s="60"/>
      <c r="B35" s="61" t="s">
        <v>146</v>
      </c>
      <c r="C35" s="62" t="s">
        <v>147</v>
      </c>
      <c r="D35" s="62"/>
      <c r="E35" s="74">
        <v>0.07</v>
      </c>
      <c r="F35" s="74"/>
      <c r="G35" s="74"/>
      <c r="H35" s="74"/>
      <c r="I35" s="74"/>
      <c r="J35" s="74"/>
      <c r="K35" s="74"/>
      <c r="L35" s="74"/>
      <c r="M35" s="74"/>
      <c r="N35" s="74"/>
      <c r="P35" s="71"/>
      <c r="Q35" s="64"/>
      <c r="AE35" s="29"/>
      <c r="AF35" s="73"/>
    </row>
    <row r="36" spans="1:63">
      <c r="A36" s="1" t="s">
        <v>148</v>
      </c>
      <c r="P36" s="71"/>
      <c r="Q36" s="64"/>
      <c r="AE36" s="29"/>
      <c r="AF36" s="73"/>
    </row>
    <row r="37" ht="16.5" spans="1:63">
      <c r="P37" s="71"/>
      <c r="Q37" s="5" t="s">
        <v>69</v>
      </c>
      <c r="AE37" s="29"/>
      <c r="AF37" s="73"/>
      <c r="AG37" s="5" t="s">
        <v>149</v>
      </c>
      <c r="AS37" s="21"/>
    </row>
    <row r="38" ht="16.5" spans="1:63">
      <c r="P38" s="71"/>
      <c r="Q38" s="10" t="s">
        <v>39</v>
      </c>
      <c r="R38" s="10"/>
      <c r="S38" s="8" t="s">
        <v>20</v>
      </c>
      <c r="T38" s="8" t="s">
        <v>22</v>
      </c>
      <c r="U38" s="8" t="s">
        <v>24</v>
      </c>
      <c r="V38" s="8" t="s">
        <v>25</v>
      </c>
      <c r="W38" s="8" t="s">
        <v>26</v>
      </c>
      <c r="X38" s="8" t="s">
        <v>27</v>
      </c>
      <c r="Y38" s="8" t="s">
        <v>28</v>
      </c>
      <c r="Z38" s="8" t="s">
        <v>29</v>
      </c>
      <c r="AA38" s="8" t="s">
        <v>30</v>
      </c>
      <c r="AB38" s="8" t="s">
        <v>31</v>
      </c>
      <c r="AC38" s="75" t="s">
        <v>84</v>
      </c>
      <c r="AD38" s="75" t="s">
        <v>150</v>
      </c>
      <c r="AE38" s="29"/>
      <c r="AF38" s="73"/>
      <c r="AG38" s="10" t="s">
        <v>151</v>
      </c>
      <c r="AH38" s="10"/>
      <c r="AI38" s="10">
        <v>0</v>
      </c>
      <c r="AJ38" s="75">
        <v>1</v>
      </c>
      <c r="AK38" s="75">
        <v>2</v>
      </c>
      <c r="AL38" s="75">
        <v>3</v>
      </c>
      <c r="AM38" s="75">
        <v>4</v>
      </c>
      <c r="AN38" s="75">
        <v>5</v>
      </c>
      <c r="AO38" s="75">
        <v>6</v>
      </c>
      <c r="AP38" s="75">
        <v>7</v>
      </c>
      <c r="AQ38" s="75">
        <v>8</v>
      </c>
      <c r="AR38" s="75">
        <v>9</v>
      </c>
      <c r="AS38" s="75">
        <v>10</v>
      </c>
      <c r="AT38" s="75">
        <v>11</v>
      </c>
      <c r="AU38" s="75">
        <v>12</v>
      </c>
    </row>
    <row r="39" spans="1:63">
      <c r="I39" s="64"/>
      <c r="J39" s="64"/>
      <c r="K39" s="64"/>
      <c r="L39" s="64"/>
      <c r="M39" s="64"/>
      <c r="P39" s="71"/>
      <c r="Q39" s="64" t="s">
        <v>13</v>
      </c>
      <c r="R39" s="35" t="s">
        <v>49</v>
      </c>
      <c r="S39" s="20">
        <f t="shared" ref="S39:AB39" si="53">$E$4*E$7*E$8*E$9</f>
        <v>59400</v>
      </c>
      <c r="T39" s="20">
        <f t="shared" si="53"/>
        <v>47520</v>
      </c>
      <c r="U39" s="20">
        <f t="shared" si="53"/>
        <v>65340</v>
      </c>
      <c r="V39" s="20">
        <f t="shared" si="53"/>
        <v>0</v>
      </c>
      <c r="W39" s="20">
        <f t="shared" si="53"/>
        <v>0</v>
      </c>
      <c r="X39" s="20">
        <f t="shared" si="53"/>
        <v>0</v>
      </c>
      <c r="Y39" s="20">
        <f t="shared" si="53"/>
        <v>0</v>
      </c>
      <c r="Z39" s="20">
        <f t="shared" si="53"/>
        <v>0</v>
      </c>
      <c r="AA39" s="20">
        <f t="shared" si="53"/>
        <v>0</v>
      </c>
      <c r="AB39" s="20">
        <f t="shared" si="53"/>
        <v>0</v>
      </c>
      <c r="AC39" s="29" cm="1">
        <f t="array" ref="AC39">$E$4*(SUMPRODUCT($E$7:$N$7,$E$8:$N$8,$E$9:$N$9))</f>
        <v>172260</v>
      </c>
      <c r="AD39" s="27">
        <f>AC39/$AC$40</f>
        <v>1</v>
      </c>
      <c r="AE39" s="29"/>
      <c r="AF39" s="73"/>
      <c r="AG39" s="22" t="s">
        <v>13</v>
      </c>
      <c r="AH39" s="23" t="s">
        <v>49</v>
      </c>
      <c r="AI39" s="23"/>
      <c r="AJ39" s="24" cm="1">
        <f t="array" ref="AJ39">IF($E$3="纯租赁",IF(AJ38*12&lt;=$E$12,$E$4*SUMPRODUCT($E$7:$N$7,$E$8:$N$8,$E$9:$N$9)*$E$10,""),IF(AJ38*12&lt;=$E$28,$E$4*SUMPRODUCT($E$7:$N$7,$E$8:$N$8,$E$9:$N$9)*$E$10,""))</f>
        <v>1722600</v>
      </c>
      <c r="AK39" s="24" cm="1">
        <f t="array" ref="AK39">IF($E$3="纯租赁",IF(AK38*12&lt;=$E$12,$E$4*SUMPRODUCT($E$7:$N$7,$E$8:$N$8,$E$9:$N$9)*$E$10,""),IF(AK38*12&lt;=$E$28,$E$4*SUMPRODUCT($E$7:$N$7,$E$8:$N$8,$E$9:$N$9)*$E$10,""))</f>
        <v>1722600</v>
      </c>
      <c r="AL39" s="24" t="str" cm="1">
        <f t="array" ref="AL39">IF($E$3="纯租赁",IF(AL38*12&lt;=$E$12,$E$4*SUMPRODUCT($E$7:$N$7,$E$8:$N$8,$E$9:$N$9)*$E$10,""),IF(AL38*12&lt;=$E$28,$E$4*SUMPRODUCT($E$7:$N$7,$E$8:$N$8,$E$9:$N$9)*$E$10,""))</f>
        <v/>
      </c>
      <c r="AM39" s="24" t="str" cm="1">
        <f t="array" ref="AM39">IF($E$3="纯租赁",IF(AM38*12&lt;=$E$12,$E$4*SUMPRODUCT($E$7:$N$7,$E$8:$N$8,$E$9:$N$9)*$E$10,""),IF(AM38*12&lt;=$E$28,$E$4*SUMPRODUCT($E$7:$N$7,$E$8:$N$8,$E$9:$N$9)*$E$10,""))</f>
        <v/>
      </c>
      <c r="AN39" s="24" t="str" cm="1">
        <f t="array" ref="AN39">IF($E$3="纯租赁",IF(AN38*12&lt;=$E$12,$E$4*SUMPRODUCT($E$7:$N$7,$E$8:$N$8,$E$9:$N$9)*$E$10,""),IF(AN38*12&lt;=$E$28,$E$4*SUMPRODUCT($E$7:$N$7,$E$8:$N$8,$E$9:$N$9)*$E$10,""))</f>
        <v/>
      </c>
      <c r="AO39" s="24" t="str" cm="1">
        <f t="array" ref="AO39">IF($E$3="纯租赁",IF(AO38*12&lt;=$E$12,$E$4*SUMPRODUCT($E$7:$N$7,$E$8:$N$8,$E$9:$N$9)*$E$10,""),IF(AO38*12&lt;=$E$28,$E$4*SUMPRODUCT($E$7:$N$7,$E$8:$N$8,$E$9:$N$9)*$E$10,""))</f>
        <v/>
      </c>
      <c r="AP39" s="24" t="str" cm="1">
        <f t="array" ref="AP39">IF($E$3="纯租赁",IF(AP38*12&lt;=$E$12,$E$4*SUMPRODUCT($E$7:$N$7,$E$8:$N$8,$E$9:$N$9)*$E$10,""),IF(AP38*12&lt;=$E$28,$E$4*SUMPRODUCT($E$7:$N$7,$E$8:$N$8,$E$9:$N$9)*$E$10,""))</f>
        <v/>
      </c>
      <c r="AQ39" s="24" t="str" cm="1">
        <f t="array" ref="AQ39">IF($E$3="纯租赁",IF(AQ38*12&lt;=$E$12,$E$4*SUMPRODUCT($E$7:$N$7,$E$8:$N$8,$E$9:$N$9)*$E$10,""),IF(AQ38*12&lt;=$E$28,$E$4*SUMPRODUCT($E$7:$N$7,$E$8:$N$8,$E$9:$N$9)*$E$10,""))</f>
        <v/>
      </c>
      <c r="AR39" s="24" t="str" cm="1">
        <f t="array" ref="AR39">IF($E$3="纯租赁",IF(AR38*12&lt;=$E$12,$E$4*SUMPRODUCT($E$7:$N$7,$E$8:$N$8,$E$9:$N$9)*$E$10,""),IF(AR38*12&lt;=$E$28,$E$4*SUMPRODUCT($E$7:$N$7,$E$8:$N$8,$E$9:$N$9)*$E$10,""))</f>
        <v/>
      </c>
      <c r="AS39" s="24" t="str" cm="1">
        <f t="array" ref="AS39">IF($E$3="纯租赁",IF(AS38*12&lt;=$E$12,$E$4*SUMPRODUCT($E$7:$N$7,$E$8:$N$8,$E$9:$N$9)*$E$10,""),IF(AS38*12&lt;=$E$28,$E$4*SUMPRODUCT($E$7:$N$7,$E$8:$N$8,$E$9:$N$9)*$E$10,""))</f>
        <v/>
      </c>
      <c r="AT39" s="24" t="str" cm="1">
        <f t="array" ref="AT39">IF($E$3="纯租赁",IF(AT38*12&lt;=$E$12,$E$4*SUMPRODUCT($E$7:$N$7,$E$8:$N$8,$E$9:$N$9)*$E$10,""),IF(AT38*12&lt;=$E$28,$E$4*SUMPRODUCT($E$7:$N$7,$E$8:$N$8,$E$9:$N$9)*$E$10,""))</f>
        <v/>
      </c>
      <c r="AU39" s="24" t="str" cm="1">
        <f t="array" ref="AU39">IF($E$3="纯租赁",IF(AU38*12&lt;=$E$12,$E$4*SUMPRODUCT($E$7:$N$7,$E$8:$N$8,$E$9:$N$9)*$E$10,""),IF(AU38*12&lt;=$E$28,$E$4*SUMPRODUCT($E$7:$N$7,$E$8:$N$8,$E$9:$N$9)*$E$10,""))</f>
        <v/>
      </c>
    </row>
    <row r="40" ht="16.5" spans="1:63">
      <c r="I40" s="51"/>
      <c r="J40" s="51"/>
      <c r="K40" s="51"/>
      <c r="L40" s="51"/>
      <c r="M40" s="51"/>
      <c r="P40" s="71"/>
      <c r="Q40" s="44" t="s">
        <v>75</v>
      </c>
      <c r="R40" s="44"/>
      <c r="S40" s="76">
        <f t="shared" ref="S40:AC40" si="54">S39</f>
        <v>59400</v>
      </c>
      <c r="T40" s="76">
        <f t="shared" si="54"/>
        <v>47520</v>
      </c>
      <c r="U40" s="76">
        <f t="shared" si="54"/>
        <v>65340</v>
      </c>
      <c r="V40" s="76">
        <f t="shared" si="54"/>
        <v>0</v>
      </c>
      <c r="W40" s="76">
        <f t="shared" si="54"/>
        <v>0</v>
      </c>
      <c r="X40" s="76">
        <f t="shared" si="54"/>
        <v>0</v>
      </c>
      <c r="Y40" s="76">
        <f t="shared" si="54"/>
        <v>0</v>
      </c>
      <c r="Z40" s="76">
        <f t="shared" si="54"/>
        <v>0</v>
      </c>
      <c r="AA40" s="76">
        <f t="shared" si="54"/>
        <v>0</v>
      </c>
      <c r="AB40" s="76">
        <f t="shared" si="54"/>
        <v>0</v>
      </c>
      <c r="AC40" s="77">
        <f t="shared" si="54"/>
        <v>172260</v>
      </c>
      <c r="AD40" s="77"/>
      <c r="AE40" s="29"/>
      <c r="AF40" s="73"/>
      <c r="AG40" s="28" t="s">
        <v>14</v>
      </c>
      <c r="AH40" s="35" t="s">
        <v>54</v>
      </c>
      <c r="AI40" s="29">
        <f>$E$4*$E$11</f>
        <v>0</v>
      </c>
    </row>
    <row r="41" spans="1:63">
      <c r="I41" s="51"/>
      <c r="J41" s="51"/>
      <c r="K41" s="51"/>
      <c r="L41" s="51"/>
      <c r="M41" s="51"/>
      <c r="P41" s="40"/>
      <c r="Q41" s="28" t="s">
        <v>14</v>
      </c>
      <c r="R41" s="35" t="s">
        <v>79</v>
      </c>
      <c r="S41" s="29" cm="1">
        <f t="array" ref="S41">$AC41*E$6*E$9/(SUMPRODUCT($E$6:$N$6,$E$9:$N$9))</f>
        <v>10761.2903225806</v>
      </c>
      <c r="T41" s="29" cm="1">
        <f t="array" ref="T41">$AC41*F$6*F$9/(SUMPRODUCT($E$6:$N$6,$E$9:$N$9))</f>
        <v>6157.84946236559</v>
      </c>
      <c r="U41" s="29" cm="1">
        <f t="array" ref="U41">$AC41*G$6*G$9/(SUMPRODUCT($E$6:$N$6,$E$9:$N$9))</f>
        <v>16440.8602150538</v>
      </c>
      <c r="V41" s="29" cm="1">
        <f t="array" ref="V41">$AC41*H$6*H$9/(SUMPRODUCT($E$6:$N$6,$E$9:$N$9))</f>
        <v>0</v>
      </c>
      <c r="W41" s="29" cm="1">
        <f t="array" ref="W41">$AC41*I$6*I$9/(SUMPRODUCT($E$6:$N$6,$E$9:$N$9))</f>
        <v>0</v>
      </c>
      <c r="X41" s="29" cm="1">
        <f t="array" ref="X41">$AC41*J$6*J$9/(SUMPRODUCT($E$6:$N$6,$E$9:$N$9))</f>
        <v>0</v>
      </c>
      <c r="Y41" s="29" cm="1">
        <f t="array" ref="Y41">$AC41*K$6*K$9/(SUMPRODUCT($E$6:$N$6,$E$9:$N$9))</f>
        <v>0</v>
      </c>
      <c r="Z41" s="29" cm="1">
        <f t="array" ref="Z41">$AC41*L$6*L$9/(SUMPRODUCT($E$6:$N$6,$E$9:$N$9))</f>
        <v>0</v>
      </c>
      <c r="AA41" s="29" cm="1">
        <f t="array" ref="AA41">$AC41*M$6*M$9/(SUMPRODUCT($E$6:$N$6,$E$9:$N$9))</f>
        <v>0</v>
      </c>
      <c r="AB41" s="29" cm="1">
        <f t="array" ref="AB41">$AC41*N$6*N$9/(SUMPRODUCT($E$6:$N$6,$E$9:$N$9))</f>
        <v>0</v>
      </c>
      <c r="AC41" s="29">
        <f>IF($E$3="纯租赁",$E$4*$E$13*12/$E$10,$E$4*($E$11/$E$28+$E$13)*12/$E$10)</f>
        <v>33360</v>
      </c>
      <c r="AD41" s="27">
        <f t="shared" ref="AD41:AD57" si="55">AC41/$AC$61</f>
        <v>0.220586378338501</v>
      </c>
      <c r="AE41" s="29"/>
      <c r="AF41" s="73"/>
      <c r="AG41" s="28"/>
      <c r="AH41" s="1" t="s">
        <v>57</v>
      </c>
      <c r="AI41" s="35"/>
      <c r="AJ41" s="29">
        <f t="shared" ref="AJ41:AU41" si="56">IF($E$3="纯租赁",IF(AJ38*12&lt;=$E$12,$E$4*$E$13*12,""),IF(AJ38*12&lt;=$E$12,$E$4*$E$13*12,IF(AJ38*12&lt;=$E$28,MOD($E$12,12)*$E$13*$E$4,"")))</f>
        <v>333600</v>
      </c>
      <c r="AK41" s="29">
        <f t="shared" si="56"/>
        <v>333600</v>
      </c>
      <c r="AL41" s="29" t="str">
        <f t="shared" si="56"/>
        <v/>
      </c>
      <c r="AM41" s="29" t="str">
        <f t="shared" si="56"/>
        <v/>
      </c>
      <c r="AN41" s="29" t="str">
        <f t="shared" si="56"/>
        <v/>
      </c>
      <c r="AO41" s="29" t="str">
        <f t="shared" si="56"/>
        <v/>
      </c>
      <c r="AP41" s="29" t="str">
        <f t="shared" si="56"/>
        <v/>
      </c>
      <c r="AQ41" s="29" t="str">
        <f t="shared" si="56"/>
        <v/>
      </c>
      <c r="AR41" s="29" t="str">
        <f t="shared" si="56"/>
        <v/>
      </c>
      <c r="AS41" s="29" t="str">
        <f t="shared" si="56"/>
        <v/>
      </c>
      <c r="AT41" s="29" t="str">
        <f t="shared" si="56"/>
        <v/>
      </c>
      <c r="AU41" s="29" t="str">
        <f t="shared" si="56"/>
        <v/>
      </c>
    </row>
    <row r="42" spans="1:63">
      <c r="I42" s="51"/>
      <c r="J42" s="51"/>
      <c r="K42" s="51"/>
      <c r="L42" s="51"/>
      <c r="M42" s="51"/>
      <c r="P42" s="40"/>
      <c r="Q42" s="28"/>
      <c r="R42" s="35" t="s">
        <v>61</v>
      </c>
      <c r="S42" s="29" cm="1">
        <f t="array" ref="S42">$AC42*E$6*E$9/(SUMPRODUCT($E$6:$N$6,$E$9:$N$9))</f>
        <v>1548.38709677419</v>
      </c>
      <c r="T42" s="29" cm="1">
        <f t="array" ref="T42">$AC42*F$6*F$9/(SUMPRODUCT($E$6:$N$6,$E$9:$N$9))</f>
        <v>886.021505376344</v>
      </c>
      <c r="U42" s="29" cm="1">
        <f t="array" ref="U42">$AC42*G$6*G$9/(SUMPRODUCT($E$6:$N$6,$E$9:$N$9))</f>
        <v>2365.59139784946</v>
      </c>
      <c r="V42" s="29" cm="1">
        <f t="array" ref="V42">$AC42*H$6*H$9/(SUMPRODUCT($E$6:$N$6,$E$9:$N$9))</f>
        <v>0</v>
      </c>
      <c r="W42" s="29" cm="1">
        <f t="array" ref="W42">$AC42*I$6*I$9/(SUMPRODUCT($E$6:$N$6,$E$9:$N$9))</f>
        <v>0</v>
      </c>
      <c r="X42" s="29" cm="1">
        <f t="array" ref="X42">$AC42*J$6*J$9/(SUMPRODUCT($E$6:$N$6,$E$9:$N$9))</f>
        <v>0</v>
      </c>
      <c r="Y42" s="29" cm="1">
        <f t="array" ref="Y42">$AC42*K$6*K$9/(SUMPRODUCT($E$6:$N$6,$E$9:$N$9))</f>
        <v>0</v>
      </c>
      <c r="Z42" s="29" cm="1">
        <f t="array" ref="Z42">$AC42*L$6*L$9/(SUMPRODUCT($E$6:$N$6,$E$9:$N$9))</f>
        <v>0</v>
      </c>
      <c r="AA42" s="29" cm="1">
        <f t="array" ref="AA42">$AC42*M$6*M$9/(SUMPRODUCT($E$6:$N$6,$E$9:$N$9))</f>
        <v>0</v>
      </c>
      <c r="AB42" s="29" cm="1">
        <f t="array" ref="AB42">$AC42*N$6*N$9/(SUMPRODUCT($E$6:$N$6,$E$9:$N$9))</f>
        <v>0</v>
      </c>
      <c r="AC42" s="29">
        <f>$E$14*$E$4*12/$E$10</f>
        <v>4800</v>
      </c>
      <c r="AD42" s="27">
        <f t="shared" si="55"/>
        <v>0.0317390472429498</v>
      </c>
      <c r="AE42" s="29"/>
      <c r="AF42" s="73"/>
      <c r="AG42" s="28"/>
      <c r="AH42" s="1" t="s">
        <v>61</v>
      </c>
      <c r="AI42" s="35"/>
      <c r="AJ42" s="29">
        <f t="shared" ref="AJ42:AU42" si="57">IF($E$3="纯租赁",IF(AJ38*12&lt;=$E$12,$E$14*$E$4*12,""),IF(AJ38*12&lt;=$E$28,$E$14*$E$4*12,""))</f>
        <v>48000</v>
      </c>
      <c r="AK42" s="29">
        <f t="shared" si="57"/>
        <v>48000</v>
      </c>
      <c r="AL42" s="29" t="str">
        <f t="shared" si="57"/>
        <v/>
      </c>
      <c r="AM42" s="29" t="str">
        <f t="shared" si="57"/>
        <v/>
      </c>
      <c r="AN42" s="29" t="str">
        <f t="shared" si="57"/>
        <v/>
      </c>
      <c r="AO42" s="29" t="str">
        <f t="shared" si="57"/>
        <v/>
      </c>
      <c r="AP42" s="29" t="str">
        <f t="shared" si="57"/>
        <v/>
      </c>
      <c r="AQ42" s="29" t="str">
        <f t="shared" si="57"/>
        <v/>
      </c>
      <c r="AR42" s="29" t="str">
        <f t="shared" si="57"/>
        <v/>
      </c>
      <c r="AS42" s="29" t="str">
        <f t="shared" si="57"/>
        <v/>
      </c>
      <c r="AT42" s="29" t="str">
        <f t="shared" si="57"/>
        <v/>
      </c>
      <c r="AU42" s="29" t="str">
        <f t="shared" si="57"/>
        <v/>
      </c>
    </row>
    <row r="43" spans="1:63">
      <c r="I43" s="51"/>
      <c r="J43" s="51"/>
      <c r="K43" s="51"/>
      <c r="L43" s="51"/>
      <c r="M43" s="51"/>
      <c r="P43" s="40"/>
      <c r="Q43" s="28"/>
      <c r="R43" s="35" t="s">
        <v>64</v>
      </c>
      <c r="S43" s="29" cm="1">
        <f t="array" ref="S43">$AC43*E$6*E$9/(SUMPRODUCT($E$6:$N$6,$E$9:$N$9))</f>
        <v>0</v>
      </c>
      <c r="T43" s="29" cm="1">
        <f t="array" ref="T43">$AC43*F$6*F$9/(SUMPRODUCT($E$6:$N$6,$E$9:$N$9))</f>
        <v>0</v>
      </c>
      <c r="U43" s="29" cm="1">
        <f t="array" ref="U43">$AC43*G$6*G$9/(SUMPRODUCT($E$6:$N$6,$E$9:$N$9))</f>
        <v>0</v>
      </c>
      <c r="V43" s="29" cm="1">
        <f t="array" ref="V43">$AC43*H$6*H$9/(SUMPRODUCT($E$6:$N$6,$E$9:$N$9))</f>
        <v>0</v>
      </c>
      <c r="W43" s="29" cm="1">
        <f t="array" ref="W43">$AC43*I$6*I$9/(SUMPRODUCT($E$6:$N$6,$E$9:$N$9))</f>
        <v>0</v>
      </c>
      <c r="X43" s="29" cm="1">
        <f t="array" ref="X43">$AC43*J$6*J$9/(SUMPRODUCT($E$6:$N$6,$E$9:$N$9))</f>
        <v>0</v>
      </c>
      <c r="Y43" s="29" cm="1">
        <f t="array" ref="Y43">$AC43*K$6*K$9/(SUMPRODUCT($E$6:$N$6,$E$9:$N$9))</f>
        <v>0</v>
      </c>
      <c r="Z43" s="29" cm="1">
        <f t="array" ref="Z43">$AC43*L$6*L$9/(SUMPRODUCT($E$6:$N$6,$E$9:$N$9))</f>
        <v>0</v>
      </c>
      <c r="AA43" s="29" cm="1">
        <f t="array" ref="AA43">$AC43*M$6*M$9/(SUMPRODUCT($E$6:$N$6,$E$9:$N$9))</f>
        <v>0</v>
      </c>
      <c r="AB43" s="29" cm="1">
        <f t="array" ref="AB43">$AC43*N$6*N$9/(SUMPRODUCT($E$6:$N$6,$E$9:$N$9))</f>
        <v>0</v>
      </c>
      <c r="AC43" s="29">
        <f>$E$4*$E$15*12/$E$10</f>
        <v>0</v>
      </c>
      <c r="AD43" s="27">
        <f t="shared" si="55"/>
        <v>0</v>
      </c>
      <c r="AE43" s="29"/>
      <c r="AF43" s="73"/>
      <c r="AG43" s="28"/>
      <c r="AH43" s="1" t="s">
        <v>64</v>
      </c>
      <c r="AI43" s="35"/>
      <c r="AJ43" s="29">
        <f t="shared" ref="AJ43:AU43" si="58">IF($E$3="纯租赁",IF(AJ38*12&lt;=$E$12,$E$4*$E$15*12,""),IF(AJ38*12&lt;=$E$28,$E$4*$E$15*12,""))</f>
        <v>0</v>
      </c>
      <c r="AK43" s="29">
        <f t="shared" si="58"/>
        <v>0</v>
      </c>
      <c r="AL43" s="29" t="str">
        <f t="shared" si="58"/>
        <v/>
      </c>
      <c r="AM43" s="29" t="str">
        <f t="shared" si="58"/>
        <v/>
      </c>
      <c r="AN43" s="29" t="str">
        <f t="shared" si="58"/>
        <v/>
      </c>
      <c r="AO43" s="29" t="str">
        <f t="shared" si="58"/>
        <v/>
      </c>
      <c r="AP43" s="29" t="str">
        <f t="shared" si="58"/>
        <v/>
      </c>
      <c r="AQ43" s="29" t="str">
        <f t="shared" si="58"/>
        <v/>
      </c>
      <c r="AR43" s="29" t="str">
        <f t="shared" si="58"/>
        <v/>
      </c>
      <c r="AS43" s="29" t="str">
        <f t="shared" si="58"/>
        <v/>
      </c>
      <c r="AT43" s="29" t="str">
        <f t="shared" si="58"/>
        <v/>
      </c>
      <c r="AU43" s="29" t="str">
        <f t="shared" si="58"/>
        <v/>
      </c>
    </row>
    <row r="44" spans="1:63">
      <c r="I44" s="51"/>
      <c r="J44" s="51"/>
      <c r="K44" s="51"/>
      <c r="L44" s="51"/>
      <c r="M44" s="51"/>
      <c r="P44" s="40"/>
      <c r="Q44" s="28"/>
      <c r="R44" s="35" t="s">
        <v>68</v>
      </c>
      <c r="S44" s="29" cm="1">
        <f t="array" ref="S44">$AC44*E$6*E$9/(SUMPRODUCT($E$6:$N$6,$E$9:$N$9))</f>
        <v>3548.38709677419</v>
      </c>
      <c r="T44" s="29" cm="1">
        <f t="array" ref="T44">$AC44*F$6*F$9/(SUMPRODUCT($E$6:$N$6,$E$9:$N$9))</f>
        <v>2030.46594982079</v>
      </c>
      <c r="U44" s="29" cm="1">
        <f t="array" ref="U44">$AC44*G$6*G$9/(SUMPRODUCT($E$6:$N$6,$E$9:$N$9))</f>
        <v>5421.14695340502</v>
      </c>
      <c r="V44" s="29" cm="1">
        <f t="array" ref="V44">$AC44*H$6*H$9/(SUMPRODUCT($E$6:$N$6,$E$9:$N$9))</f>
        <v>0</v>
      </c>
      <c r="W44" s="29" cm="1">
        <f t="array" ref="W44">$AC44*I$6*I$9/(SUMPRODUCT($E$6:$N$6,$E$9:$N$9))</f>
        <v>0</v>
      </c>
      <c r="X44" s="29" cm="1">
        <f t="array" ref="X44">$AC44*J$6*J$9/(SUMPRODUCT($E$6:$N$6,$E$9:$N$9))</f>
        <v>0</v>
      </c>
      <c r="Y44" s="29" cm="1">
        <f t="array" ref="Y44">$AC44*K$6*K$9/(SUMPRODUCT($E$6:$N$6,$E$9:$N$9))</f>
        <v>0</v>
      </c>
      <c r="Z44" s="29" cm="1">
        <f t="array" ref="Z44">$AC44*L$6*L$9/(SUMPRODUCT($E$6:$N$6,$E$9:$N$9))</f>
        <v>0</v>
      </c>
      <c r="AA44" s="29" cm="1">
        <f t="array" ref="AA44">$AC44*M$6*M$9/(SUMPRODUCT($E$6:$N$6,$E$9:$N$9))</f>
        <v>0</v>
      </c>
      <c r="AB44" s="29" cm="1">
        <f t="array" ref="AB44">$AC44*N$6*N$9/(SUMPRODUCT($E$6:$N$6,$E$9:$N$9))</f>
        <v>0</v>
      </c>
      <c r="AC44" s="29">
        <f>$E$4*$E$16*12/$E$10</f>
        <v>11000</v>
      </c>
      <c r="AD44" s="27">
        <f t="shared" si="55"/>
        <v>0.0727353165984266</v>
      </c>
      <c r="AE44" s="29"/>
      <c r="AF44" s="29"/>
      <c r="AG44" s="28"/>
      <c r="AH44" s="1" t="s">
        <v>68</v>
      </c>
      <c r="AI44" s="35"/>
      <c r="AJ44" s="29">
        <f t="shared" ref="AJ44:AU44" si="59">IF($E$3="纯租赁",IF(AJ38*12&lt;=$E$12,$E$4*$E$16*12,""),IF(AJ38*12&lt;=$E$28,$E$4*$E$16*12,""))</f>
        <v>110000</v>
      </c>
      <c r="AK44" s="29">
        <f t="shared" si="59"/>
        <v>110000</v>
      </c>
      <c r="AL44" s="29" t="str">
        <f t="shared" si="59"/>
        <v/>
      </c>
      <c r="AM44" s="29" t="str">
        <f t="shared" si="59"/>
        <v/>
      </c>
      <c r="AN44" s="29" t="str">
        <f t="shared" si="59"/>
        <v/>
      </c>
      <c r="AO44" s="29" t="str">
        <f t="shared" si="59"/>
        <v/>
      </c>
      <c r="AP44" s="29" t="str">
        <f t="shared" si="59"/>
        <v/>
      </c>
      <c r="AQ44" s="29" t="str">
        <f t="shared" si="59"/>
        <v/>
      </c>
      <c r="AR44" s="29" t="str">
        <f t="shared" si="59"/>
        <v/>
      </c>
      <c r="AS44" s="29" t="str">
        <f t="shared" si="59"/>
        <v/>
      </c>
      <c r="AT44" s="29" t="str">
        <f t="shared" si="59"/>
        <v/>
      </c>
      <c r="AU44" s="29" t="str">
        <f t="shared" si="59"/>
        <v/>
      </c>
    </row>
    <row r="45" spans="1:63">
      <c r="I45" s="78"/>
      <c r="J45" s="78"/>
      <c r="K45" s="78"/>
      <c r="L45" s="78"/>
      <c r="M45" s="78"/>
      <c r="P45" s="40"/>
      <c r="Q45" s="28"/>
      <c r="R45" s="35" t="s">
        <v>71</v>
      </c>
      <c r="S45" s="29" cm="1">
        <f t="array" ref="S45">$AC45*E$6*E$9/(SUMPRODUCT($E$6:$N$6,$E$9:$N$9))</f>
        <v>258.064516129032</v>
      </c>
      <c r="T45" s="29" cm="1">
        <f t="array" ref="T45">$AC45*F$6*F$9/(SUMPRODUCT($E$6:$N$6,$E$9:$N$9))</f>
        <v>147.670250896057</v>
      </c>
      <c r="U45" s="29" cm="1">
        <f t="array" ref="U45">$AC45*G$6*G$9/(SUMPRODUCT($E$6:$N$6,$E$9:$N$9))</f>
        <v>394.26523297491</v>
      </c>
      <c r="V45" s="29" cm="1">
        <f t="array" ref="V45">$AC45*H$6*H$9/(SUMPRODUCT($E$6:$N$6,$E$9:$N$9))</f>
        <v>0</v>
      </c>
      <c r="W45" s="29" cm="1">
        <f t="array" ref="W45">$AC45*I$6*I$9/(SUMPRODUCT($E$6:$N$6,$E$9:$N$9))</f>
        <v>0</v>
      </c>
      <c r="X45" s="29" cm="1">
        <f t="array" ref="X45">$AC45*J$6*J$9/(SUMPRODUCT($E$6:$N$6,$E$9:$N$9))</f>
        <v>0</v>
      </c>
      <c r="Y45" s="29" cm="1">
        <f t="array" ref="Y45">$AC45*K$6*K$9/(SUMPRODUCT($E$6:$N$6,$E$9:$N$9))</f>
        <v>0</v>
      </c>
      <c r="Z45" s="29" cm="1">
        <f t="array" ref="Z45">$AC45*L$6*L$9/(SUMPRODUCT($E$6:$N$6,$E$9:$N$9))</f>
        <v>0</v>
      </c>
      <c r="AA45" s="29" cm="1">
        <f t="array" ref="AA45">$AC45*M$6*M$9/(SUMPRODUCT($E$6:$N$6,$E$9:$N$9))</f>
        <v>0</v>
      </c>
      <c r="AB45" s="29" cm="1">
        <f t="array" ref="AB45">$AC45*N$6*N$9/(SUMPRODUCT($E$6:$N$6,$E$9:$N$9))</f>
        <v>0</v>
      </c>
      <c r="AC45" s="29">
        <f>$E$4*$E$17*12/$E$10</f>
        <v>800</v>
      </c>
      <c r="AD45" s="27">
        <f t="shared" si="55"/>
        <v>0.0052898412071583</v>
      </c>
      <c r="AE45" s="29"/>
      <c r="AF45" s="29"/>
      <c r="AG45" s="28"/>
      <c r="AH45" s="1" t="s">
        <v>71</v>
      </c>
      <c r="AI45" s="35"/>
      <c r="AJ45" s="29">
        <f t="shared" ref="AJ45:AU45" si="60">IF($E$3="纯租赁",IF(AJ38*12&lt;=$E$12,$E$4*$E$17*12,""),IF(AJ38*12&lt;=$E$28,$E$4*$E$17*12,""))</f>
        <v>8000</v>
      </c>
      <c r="AK45" s="29">
        <f t="shared" si="60"/>
        <v>8000</v>
      </c>
      <c r="AL45" s="29" t="str">
        <f t="shared" si="60"/>
        <v/>
      </c>
      <c r="AM45" s="29" t="str">
        <f t="shared" si="60"/>
        <v/>
      </c>
      <c r="AN45" s="29" t="str">
        <f t="shared" si="60"/>
        <v/>
      </c>
      <c r="AO45" s="29" t="str">
        <f t="shared" si="60"/>
        <v/>
      </c>
      <c r="AP45" s="29" t="str">
        <f t="shared" si="60"/>
        <v/>
      </c>
      <c r="AQ45" s="29" t="str">
        <f t="shared" si="60"/>
        <v/>
      </c>
      <c r="AR45" s="29" t="str">
        <f t="shared" si="60"/>
        <v/>
      </c>
      <c r="AS45" s="29" t="str">
        <f t="shared" si="60"/>
        <v/>
      </c>
      <c r="AT45" s="29" t="str">
        <f t="shared" si="60"/>
        <v/>
      </c>
      <c r="AU45" s="29" t="str">
        <f t="shared" si="60"/>
        <v/>
      </c>
    </row>
    <row r="46" spans="1:63">
      <c r="P46" s="40"/>
      <c r="Q46" s="28"/>
      <c r="R46" s="35" t="s">
        <v>74</v>
      </c>
      <c r="S46" s="29" cm="1">
        <f t="array" ref="S46">$AC46*E$6*E$9/(SUMPRODUCT($E$6:$N$6,$E$9:$N$9))</f>
        <v>1935.48387096774</v>
      </c>
      <c r="T46" s="29" cm="1">
        <f t="array" ref="T46">$AC46*F$6*F$9/(SUMPRODUCT($E$6:$N$6,$E$9:$N$9))</f>
        <v>1107.52688172043</v>
      </c>
      <c r="U46" s="29" cm="1">
        <f t="array" ref="U46">$AC46*G$6*G$9/(SUMPRODUCT($E$6:$N$6,$E$9:$N$9))</f>
        <v>2956.98924731183</v>
      </c>
      <c r="V46" s="29" cm="1">
        <f t="array" ref="V46">$AC46*H$6*H$9/(SUMPRODUCT($E$6:$N$6,$E$9:$N$9))</f>
        <v>0</v>
      </c>
      <c r="W46" s="29" cm="1">
        <f t="array" ref="W46">$AC46*I$6*I$9/(SUMPRODUCT($E$6:$N$6,$E$9:$N$9))</f>
        <v>0</v>
      </c>
      <c r="X46" s="29" cm="1">
        <f t="array" ref="X46">$AC46*J$6*J$9/(SUMPRODUCT($E$6:$N$6,$E$9:$N$9))</f>
        <v>0</v>
      </c>
      <c r="Y46" s="29" cm="1">
        <f t="array" ref="Y46">$AC46*K$6*K$9/(SUMPRODUCT($E$6:$N$6,$E$9:$N$9))</f>
        <v>0</v>
      </c>
      <c r="Z46" s="29" cm="1">
        <f t="array" ref="Z46">$AC46*L$6*L$9/(SUMPRODUCT($E$6:$N$6,$E$9:$N$9))</f>
        <v>0</v>
      </c>
      <c r="AA46" s="29" cm="1">
        <f t="array" ref="AA46">$AC46*M$6*M$9/(SUMPRODUCT($E$6:$N$6,$E$9:$N$9))</f>
        <v>0</v>
      </c>
      <c r="AB46" s="29" cm="1">
        <f t="array" ref="AB46">$AC46*N$6*N$9/(SUMPRODUCT($E$6:$N$6,$E$9:$N$9))</f>
        <v>0</v>
      </c>
      <c r="AC46" s="29">
        <f>$E$4*$E$18*12/$E$10</f>
        <v>6000</v>
      </c>
      <c r="AD46" s="27">
        <f t="shared" si="55"/>
        <v>0.0396738090536872</v>
      </c>
      <c r="AE46" s="29"/>
      <c r="AF46" s="29"/>
      <c r="AG46" s="28"/>
      <c r="AH46" s="1" t="s">
        <v>74</v>
      </c>
      <c r="AI46" s="35"/>
      <c r="AJ46" s="29">
        <f t="shared" ref="AJ46:AU46" si="61">IF($E$3="纯租赁",IF(AJ38*12&lt;=$E$12,$E$4*$E$18*12,""),IF(AJ38*12&lt;=$E$28,$E$4*$E$18*12,""))</f>
        <v>60000</v>
      </c>
      <c r="AK46" s="29">
        <f t="shared" si="61"/>
        <v>60000</v>
      </c>
      <c r="AL46" s="29" t="str">
        <f t="shared" si="61"/>
        <v/>
      </c>
      <c r="AM46" s="29" t="str">
        <f t="shared" si="61"/>
        <v/>
      </c>
      <c r="AN46" s="29" t="str">
        <f t="shared" si="61"/>
        <v/>
      </c>
      <c r="AO46" s="29" t="str">
        <f t="shared" si="61"/>
        <v/>
      </c>
      <c r="AP46" s="29" t="str">
        <f t="shared" si="61"/>
        <v/>
      </c>
      <c r="AQ46" s="29" t="str">
        <f t="shared" si="61"/>
        <v/>
      </c>
      <c r="AR46" s="29" t="str">
        <f t="shared" si="61"/>
        <v/>
      </c>
      <c r="AS46" s="29" t="str">
        <f t="shared" si="61"/>
        <v/>
      </c>
      <c r="AT46" s="29" t="str">
        <f t="shared" si="61"/>
        <v/>
      </c>
      <c r="AU46" s="29" t="str">
        <f t="shared" si="61"/>
        <v/>
      </c>
    </row>
    <row r="47" spans="1:63">
      <c r="P47" s="40"/>
      <c r="Q47" s="28"/>
      <c r="R47" s="35" t="s">
        <v>78</v>
      </c>
      <c r="S47" s="29" cm="1">
        <f t="array" ref="S47">$AC47*E$6*E$9/(SUMPRODUCT($E$6:$N$6,$E$9:$N$9))</f>
        <v>0</v>
      </c>
      <c r="T47" s="29" cm="1">
        <f t="array" ref="T47">$AC47*F$6*F$9/(SUMPRODUCT($E$6:$N$6,$E$9:$N$9))</f>
        <v>0</v>
      </c>
      <c r="U47" s="29" cm="1">
        <f t="array" ref="U47">$AC47*G$6*G$9/(SUMPRODUCT($E$6:$N$6,$E$9:$N$9))</f>
        <v>0</v>
      </c>
      <c r="V47" s="29" cm="1">
        <f t="array" ref="V47">$AC47*H$6*H$9/(SUMPRODUCT($E$6:$N$6,$E$9:$N$9))</f>
        <v>0</v>
      </c>
      <c r="W47" s="29" cm="1">
        <f t="array" ref="W47">$AC47*I$6*I$9/(SUMPRODUCT($E$6:$N$6,$E$9:$N$9))</f>
        <v>0</v>
      </c>
      <c r="X47" s="29" cm="1">
        <f t="array" ref="X47">$AC47*J$6*J$9/(SUMPRODUCT($E$6:$N$6,$E$9:$N$9))</f>
        <v>0</v>
      </c>
      <c r="Y47" s="29" cm="1">
        <f t="array" ref="Y47">$AC47*K$6*K$9/(SUMPRODUCT($E$6:$N$6,$E$9:$N$9))</f>
        <v>0</v>
      </c>
      <c r="Z47" s="29" cm="1">
        <f t="array" ref="Z47">$AC47*L$6*L$9/(SUMPRODUCT($E$6:$N$6,$E$9:$N$9))</f>
        <v>0</v>
      </c>
      <c r="AA47" s="29" cm="1">
        <f t="array" ref="AA47">$AC47*M$6*M$9/(SUMPRODUCT($E$6:$N$6,$E$9:$N$9))</f>
        <v>0</v>
      </c>
      <c r="AB47" s="29" cm="1">
        <f t="array" ref="AB47">$AC47*N$6*N$9/(SUMPRODUCT($E$6:$N$6,$E$9:$N$9))</f>
        <v>0</v>
      </c>
      <c r="AC47" s="29">
        <f>$E$4*$E$19*12/$E$10</f>
        <v>0</v>
      </c>
      <c r="AD47" s="27">
        <f t="shared" si="55"/>
        <v>0</v>
      </c>
      <c r="AE47" s="29"/>
      <c r="AF47" s="29"/>
      <c r="AG47" s="28"/>
      <c r="AH47" s="1" t="s">
        <v>78</v>
      </c>
      <c r="AI47" s="35"/>
      <c r="AJ47" s="29">
        <f t="shared" ref="AJ47:AU47" si="62">IF($E$3="纯租赁",IF(AJ38*12&lt;=$E$12,$E$4*$E$19*12,""),IF(AJ38*12&lt;=$E$28,$E$4*$E$19*12,""))</f>
        <v>0</v>
      </c>
      <c r="AK47" s="29">
        <f t="shared" si="62"/>
        <v>0</v>
      </c>
      <c r="AL47" s="29" t="str">
        <f t="shared" si="62"/>
        <v/>
      </c>
      <c r="AM47" s="29" t="str">
        <f t="shared" si="62"/>
        <v/>
      </c>
      <c r="AN47" s="29" t="str">
        <f t="shared" si="62"/>
        <v/>
      </c>
      <c r="AO47" s="29" t="str">
        <f t="shared" si="62"/>
        <v/>
      </c>
      <c r="AP47" s="29" t="str">
        <f t="shared" si="62"/>
        <v/>
      </c>
      <c r="AQ47" s="29" t="str">
        <f t="shared" si="62"/>
        <v/>
      </c>
      <c r="AR47" s="29" t="str">
        <f t="shared" si="62"/>
        <v/>
      </c>
      <c r="AS47" s="29" t="str">
        <f t="shared" si="62"/>
        <v/>
      </c>
      <c r="AT47" s="29" t="str">
        <f t="shared" si="62"/>
        <v/>
      </c>
      <c r="AU47" s="29" t="str">
        <f t="shared" si="62"/>
        <v/>
      </c>
    </row>
    <row r="48" spans="1:63">
      <c r="P48" s="40"/>
      <c r="Q48" s="28"/>
      <c r="R48" s="35" t="s">
        <v>82</v>
      </c>
      <c r="S48" s="29" cm="1">
        <f t="array" ref="S48">$AC48*E$6*E$9/(SUMPRODUCT($E$6:$N$6,$E$9:$N$9))</f>
        <v>258.064516129032</v>
      </c>
      <c r="T48" s="29" cm="1">
        <f t="array" ref="T48">$AC48*F$6*F$9/(SUMPRODUCT($E$6:$N$6,$E$9:$N$9))</f>
        <v>147.670250896057</v>
      </c>
      <c r="U48" s="29" cm="1">
        <f t="array" ref="U48">$AC48*G$6*G$9/(SUMPRODUCT($E$6:$N$6,$E$9:$N$9))</f>
        <v>394.26523297491</v>
      </c>
      <c r="V48" s="29" cm="1">
        <f t="array" ref="V48">$AC48*H$6*H$9/(SUMPRODUCT($E$6:$N$6,$E$9:$N$9))</f>
        <v>0</v>
      </c>
      <c r="W48" s="29" cm="1">
        <f t="array" ref="W48">$AC48*I$6*I$9/(SUMPRODUCT($E$6:$N$6,$E$9:$N$9))</f>
        <v>0</v>
      </c>
      <c r="X48" s="29" cm="1">
        <f t="array" ref="X48">$AC48*J$6*J$9/(SUMPRODUCT($E$6:$N$6,$E$9:$N$9))</f>
        <v>0</v>
      </c>
      <c r="Y48" s="29" cm="1">
        <f t="array" ref="Y48">$AC48*K$6*K$9/(SUMPRODUCT($E$6:$N$6,$E$9:$N$9))</f>
        <v>0</v>
      </c>
      <c r="Z48" s="29" cm="1">
        <f t="array" ref="Z48">$AC48*L$6*L$9/(SUMPRODUCT($E$6:$N$6,$E$9:$N$9))</f>
        <v>0</v>
      </c>
      <c r="AA48" s="29" cm="1">
        <f t="array" ref="AA48">$AC48*M$6*M$9/(SUMPRODUCT($E$6:$N$6,$E$9:$N$9))</f>
        <v>0</v>
      </c>
      <c r="AB48" s="29" cm="1">
        <f t="array" ref="AB48">$AC48*N$6*N$9/(SUMPRODUCT($E$6:$N$6,$E$9:$N$9))</f>
        <v>0</v>
      </c>
      <c r="AC48" s="29">
        <f>$E$4*$E$20*12/$E$10</f>
        <v>800</v>
      </c>
      <c r="AD48" s="27">
        <f t="shared" si="55"/>
        <v>0.0052898412071583</v>
      </c>
      <c r="AE48" s="29"/>
      <c r="AF48" s="29"/>
      <c r="AG48" s="28"/>
      <c r="AH48" s="1" t="s">
        <v>82</v>
      </c>
      <c r="AI48" s="35"/>
      <c r="AJ48" s="29">
        <f t="shared" ref="AJ48:AU48" si="63">IF($E$3="纯租赁",IF(AJ38*12&lt;=$E$12,$E$4*$E$20*12,""),IF(AJ38*12&lt;=$E$28,$E$4*$E$20*12,""))</f>
        <v>8000</v>
      </c>
      <c r="AK48" s="29">
        <f t="shared" si="63"/>
        <v>8000</v>
      </c>
      <c r="AL48" s="29" t="str">
        <f t="shared" si="63"/>
        <v/>
      </c>
      <c r="AM48" s="29" t="str">
        <f t="shared" si="63"/>
        <v/>
      </c>
      <c r="AN48" s="29" t="str">
        <f t="shared" si="63"/>
        <v/>
      </c>
      <c r="AO48" s="29" t="str">
        <f t="shared" si="63"/>
        <v/>
      </c>
      <c r="AP48" s="29" t="str">
        <f t="shared" si="63"/>
        <v/>
      </c>
      <c r="AQ48" s="29" t="str">
        <f t="shared" si="63"/>
        <v/>
      </c>
      <c r="AR48" s="29" t="str">
        <f t="shared" si="63"/>
        <v/>
      </c>
      <c r="AS48" s="29" t="str">
        <f t="shared" si="63"/>
        <v/>
      </c>
      <c r="AT48" s="29" t="str">
        <f t="shared" si="63"/>
        <v/>
      </c>
      <c r="AU48" s="29" t="str">
        <f t="shared" si="63"/>
        <v/>
      </c>
    </row>
    <row r="49" spans="16:47">
      <c r="P49" s="40"/>
      <c r="Q49" s="28"/>
      <c r="R49" s="23" t="s">
        <v>85</v>
      </c>
      <c r="S49" s="24" cm="1">
        <f t="array" ref="S49">$AC49*E$6*E$9/(SUMPRODUCT($E$6:$N$6,$E$9:$N$9))</f>
        <v>154.838709677419</v>
      </c>
      <c r="T49" s="24" cm="1">
        <f t="array" ref="T49">$AC49*F$6*F$9/(SUMPRODUCT($E$6:$N$6,$E$9:$N$9))</f>
        <v>88.6021505376344</v>
      </c>
      <c r="U49" s="24" cm="1">
        <f t="array" ref="U49">$AC49*G$6*G$9/(SUMPRODUCT($E$6:$N$6,$E$9:$N$9))</f>
        <v>236.559139784946</v>
      </c>
      <c r="V49" s="24" cm="1">
        <f t="array" ref="V49">$AC49*H$6*H$9/(SUMPRODUCT($E$6:$N$6,$E$9:$N$9))</f>
        <v>0</v>
      </c>
      <c r="W49" s="24" cm="1">
        <f t="array" ref="W49">$AC49*I$6*I$9/(SUMPRODUCT($E$6:$N$6,$E$9:$N$9))</f>
        <v>0</v>
      </c>
      <c r="X49" s="24" cm="1">
        <f t="array" ref="X49">$AC49*J$6*J$9/(SUMPRODUCT($E$6:$N$6,$E$9:$N$9))</f>
        <v>0</v>
      </c>
      <c r="Y49" s="24" cm="1">
        <f t="array" ref="Y49">$AC49*K$6*K$9/(SUMPRODUCT($E$6:$N$6,$E$9:$N$9))</f>
        <v>0</v>
      </c>
      <c r="Z49" s="24" cm="1">
        <f t="array" ref="Z49">$AC49*L$6*L$9/(SUMPRODUCT($E$6:$N$6,$E$9:$N$9))</f>
        <v>0</v>
      </c>
      <c r="AA49" s="24" cm="1">
        <f t="array" ref="AA49">$AC49*M$6*M$9/(SUMPRODUCT($E$6:$N$6,$E$9:$N$9))</f>
        <v>0</v>
      </c>
      <c r="AB49" s="24" cm="1">
        <f t="array" ref="AB49">$AC49*N$6*N$9/(SUMPRODUCT($E$6:$N$6,$E$9:$N$9))</f>
        <v>0</v>
      </c>
      <c r="AC49" s="24">
        <f>$E$4*$E$21*12/$E$10</f>
        <v>480</v>
      </c>
      <c r="AD49" s="79">
        <f t="shared" si="55"/>
        <v>0.00317390472429498</v>
      </c>
      <c r="AG49" s="28"/>
      <c r="AH49" s="1" t="s">
        <v>85</v>
      </c>
      <c r="AI49" s="35"/>
      <c r="AJ49" s="29">
        <f t="shared" ref="AJ49:AU49" si="64">IF($E$3="纯租赁",IF(AJ38*12&lt;=$E$12,$E$4*$E$21*12,""),IF(AJ38*12&lt;=$E$28,$E$4*$E$21*12,""))</f>
        <v>4800</v>
      </c>
      <c r="AK49" s="29">
        <f t="shared" si="64"/>
        <v>4800</v>
      </c>
      <c r="AL49" s="29" t="str">
        <f t="shared" si="64"/>
        <v/>
      </c>
      <c r="AM49" s="29" t="str">
        <f t="shared" si="64"/>
        <v/>
      </c>
      <c r="AN49" s="29" t="str">
        <f t="shared" si="64"/>
        <v/>
      </c>
      <c r="AO49" s="29" t="str">
        <f t="shared" si="64"/>
        <v/>
      </c>
      <c r="AP49" s="29" t="str">
        <f t="shared" si="64"/>
        <v/>
      </c>
      <c r="AQ49" s="29" t="str">
        <f t="shared" si="64"/>
        <v/>
      </c>
      <c r="AR49" s="29" t="str">
        <f t="shared" si="64"/>
        <v/>
      </c>
      <c r="AS49" s="29" t="str">
        <f t="shared" si="64"/>
        <v/>
      </c>
      <c r="AT49" s="29" t="str">
        <f t="shared" si="64"/>
        <v/>
      </c>
      <c r="AU49" s="29" t="str">
        <f t="shared" si="64"/>
        <v/>
      </c>
    </row>
    <row r="50" spans="16:47">
      <c r="Q50" s="53" t="s">
        <v>15</v>
      </c>
      <c r="R50" s="35" t="s">
        <v>88</v>
      </c>
      <c r="S50" s="29">
        <f t="shared" ref="S50:AB50" si="65">$E$4*E$9*E$22</f>
        <v>27000</v>
      </c>
      <c r="T50" s="29">
        <f t="shared" si="65"/>
        <v>0</v>
      </c>
      <c r="U50" s="29">
        <f t="shared" si="65"/>
        <v>0</v>
      </c>
      <c r="V50" s="29">
        <f t="shared" si="65"/>
        <v>0</v>
      </c>
      <c r="W50" s="29">
        <f t="shared" si="65"/>
        <v>0</v>
      </c>
      <c r="X50" s="29">
        <f t="shared" si="65"/>
        <v>0</v>
      </c>
      <c r="Y50" s="29">
        <f t="shared" si="65"/>
        <v>0</v>
      </c>
      <c r="Z50" s="29">
        <f t="shared" si="65"/>
        <v>0</v>
      </c>
      <c r="AA50" s="29">
        <f t="shared" si="65"/>
        <v>0</v>
      </c>
      <c r="AB50" s="29">
        <f t="shared" si="65"/>
        <v>0</v>
      </c>
      <c r="AC50" s="29" cm="1">
        <f t="array" ref="AC50">$E$4*SUMPRODUCT($E$9:$N$9,$E$22:$N$22)</f>
        <v>27000</v>
      </c>
      <c r="AD50" s="27">
        <f t="shared" si="55"/>
        <v>0.178532140741592</v>
      </c>
      <c r="AG50" s="53" t="s">
        <v>15</v>
      </c>
      <c r="AH50" s="80" t="s">
        <v>88</v>
      </c>
      <c r="AI50" s="81"/>
      <c r="AJ50" s="82" cm="1">
        <f t="array" ref="AJ50">IF($E$3="纯租赁",IF(AJ38*12&lt;=$E$12,$E$4*SUMPRODUCT($E$9:$N$9,$E$22:$N$22)*$E$10,""),IF(AJ38*12&lt;=$E$28,$E$4*SUMPRODUCT($E$9:$N$9,$E$22:$N$22)*$E$10,""))</f>
        <v>270000</v>
      </c>
      <c r="AK50" s="82" cm="1">
        <f t="array" ref="AK50">IF($E$3="纯租赁",IF(AK38*12&lt;=$E$12,$E$4*SUMPRODUCT($E$9:$N$9,$E$22:$N$22)*$E$10,""),IF(AK38*12&lt;=$E$28,$E$4*SUMPRODUCT($E$9:$N$9,$E$22:$N$22)*$E$10,""))</f>
        <v>270000</v>
      </c>
      <c r="AL50" s="82" t="str" cm="1">
        <f t="array" ref="AL50">IF($E$3="纯租赁",IF(AL38*12&lt;=$E$12,$E$4*SUMPRODUCT($E$9:$N$9,$E$22:$N$22)*$E$10,""),IF(AL38*12&lt;=$E$28,$E$4*SUMPRODUCT($E$9:$N$9,$E$22:$N$22)*$E$10,""))</f>
        <v/>
      </c>
      <c r="AM50" s="82" t="str" cm="1">
        <f t="array" ref="AM50">IF($E$3="纯租赁",IF(AM38*12&lt;=$E$12,$E$4*SUMPRODUCT($E$9:$N$9,$E$22:$N$22)*$E$10,""),IF(AM38*12&lt;=$E$28,$E$4*SUMPRODUCT($E$9:$N$9,$E$22:$N$22)*$E$10,""))</f>
        <v/>
      </c>
      <c r="AN50" s="82" t="str" cm="1">
        <f t="array" ref="AN50">IF($E$3="纯租赁",IF(AN38*12&lt;=$E$12,$E$4*SUMPRODUCT($E$9:$N$9,$E$22:$N$22)*$E$10,""),IF(AN38*12&lt;=$E$28,$E$4*SUMPRODUCT($E$9:$N$9,$E$22:$N$22)*$E$10,""))</f>
        <v/>
      </c>
      <c r="AO50" s="82" t="str" cm="1">
        <f t="array" ref="AO50">IF($E$3="纯租赁",IF(AO38*12&lt;=$E$12,$E$4*SUMPRODUCT($E$9:$N$9,$E$22:$N$22)*$E$10,""),IF(AO38*12&lt;=$E$28,$E$4*SUMPRODUCT($E$9:$N$9,$E$22:$N$22)*$E$10,""))</f>
        <v/>
      </c>
      <c r="AP50" s="82" t="str" cm="1">
        <f t="array" ref="AP50">IF($E$3="纯租赁",IF(AP38*12&lt;=$E$12,$E$4*SUMPRODUCT($E$9:$N$9,$E$22:$N$22)*$E$10,""),IF(AP38*12&lt;=$E$28,$E$4*SUMPRODUCT($E$9:$N$9,$E$22:$N$22)*$E$10,""))</f>
        <v/>
      </c>
      <c r="AQ50" s="82" t="str" cm="1">
        <f t="array" ref="AQ50">IF($E$3="纯租赁",IF(AQ38*12&lt;=$E$12,$E$4*SUMPRODUCT($E$9:$N$9,$E$22:$N$22)*$E$10,""),IF(AQ38*12&lt;=$E$28,$E$4*SUMPRODUCT($E$9:$N$9,$E$22:$N$22)*$E$10,""))</f>
        <v/>
      </c>
      <c r="AR50" s="82" t="str" cm="1">
        <f t="array" ref="AR50">IF($E$3="纯租赁",IF(AR38*12&lt;=$E$12,$E$4*SUMPRODUCT($E$9:$N$9,$E$22:$N$22)*$E$10,""),IF(AR38*12&lt;=$E$28,$E$4*SUMPRODUCT($E$9:$N$9,$E$22:$N$22)*$E$10,""))</f>
        <v/>
      </c>
      <c r="AS50" s="82" t="str" cm="1">
        <f t="array" ref="AS50">IF($E$3="纯租赁",IF(AS38*12&lt;=$E$12,$E$4*SUMPRODUCT($E$9:$N$9,$E$22:$N$22)*$E$10,""),IF(AS38*12&lt;=$E$28,$E$4*SUMPRODUCT($E$9:$N$9,$E$22:$N$22)*$E$10,""))</f>
        <v/>
      </c>
      <c r="AT50" s="82" t="str" cm="1">
        <f t="array" ref="AT50">IF($E$3="纯租赁",IF(AT38*12&lt;=$E$12,$E$4*SUMPRODUCT($E$9:$N$9,$E$22:$N$22)*$E$10,""),IF(AT38*12&lt;=$E$28,$E$4*SUMPRODUCT($E$9:$N$9,$E$22:$N$22)*$E$10,""))</f>
        <v/>
      </c>
      <c r="AU50" s="82" t="str" cm="1">
        <f t="array" ref="AU50">IF($E$3="纯租赁",IF(AU38*12&lt;=$E$12,$E$4*SUMPRODUCT($E$9:$N$9,$E$22:$N$22)*$E$10,""),IF(AU38*12&lt;=$E$28,$E$4*SUMPRODUCT($E$9:$N$9,$E$22:$N$22)*$E$10,""))</f>
        <v/>
      </c>
    </row>
    <row r="51" spans="16:47">
      <c r="P51" s="40"/>
      <c r="Q51" s="28"/>
      <c r="R51" s="35" t="s">
        <v>91</v>
      </c>
      <c r="S51" s="29">
        <f t="shared" ref="S51:AB51" si="66">$E$4*E$9*E$23</f>
        <v>21060</v>
      </c>
      <c r="T51" s="29">
        <f t="shared" si="66"/>
        <v>0</v>
      </c>
      <c r="U51" s="29">
        <f t="shared" si="66"/>
        <v>0</v>
      </c>
      <c r="V51" s="29">
        <f t="shared" si="66"/>
        <v>0</v>
      </c>
      <c r="W51" s="29">
        <f t="shared" si="66"/>
        <v>0</v>
      </c>
      <c r="X51" s="29">
        <f t="shared" si="66"/>
        <v>0</v>
      </c>
      <c r="Y51" s="29">
        <f t="shared" si="66"/>
        <v>0</v>
      </c>
      <c r="Z51" s="29">
        <f t="shared" si="66"/>
        <v>0</v>
      </c>
      <c r="AA51" s="29">
        <f t="shared" si="66"/>
        <v>0</v>
      </c>
      <c r="AB51" s="29">
        <f t="shared" si="66"/>
        <v>0</v>
      </c>
      <c r="AC51" s="29" cm="1">
        <f t="array" ref="AC51">$E$4*SUMPRODUCT($E$9:$N$9,$E$23:$N$23)</f>
        <v>21060</v>
      </c>
      <c r="AD51" s="27">
        <f t="shared" si="55"/>
        <v>0.139255069778442</v>
      </c>
      <c r="AF51" s="71"/>
      <c r="AG51" s="28"/>
      <c r="AH51" s="1" t="s">
        <v>91</v>
      </c>
      <c r="AI51" s="35"/>
      <c r="AJ51" s="29" cm="1">
        <f t="array" ref="AJ51">IF($E$3="纯租赁",IF(AJ38*12&lt;=$E$12,$E$4*SUMPRODUCT($E$23:$N$23,$E$9:$N$9)*$E$10,""),IF(AJ38*12&lt;=$E$28,$E$4*SUMPRODUCT($E$23:$N$23,$E$9:$N$9)*$E$10,""))</f>
        <v>210600</v>
      </c>
      <c r="AK51" s="29" cm="1">
        <f t="array" ref="AK51">IF($E$3="纯租赁",IF(AK38*12&lt;=$E$12,$E$4*SUMPRODUCT($E$23:$N$23,$E$9:$N$9)*$E$10,""),IF(AK38*12&lt;=$E$28,$E$4*SUMPRODUCT($E$23:$N$23,$E$9:$N$9)*$E$10,""))</f>
        <v>210600</v>
      </c>
      <c r="AL51" s="29" t="str" cm="1">
        <f t="array" ref="AL51">IF($E$3="纯租赁",IF(AL38*12&lt;=$E$12,$E$4*SUMPRODUCT($E$23:$N$23,$E$9:$N$9)*$E$10,""),IF(AL38*12&lt;=$E$28,$E$4*SUMPRODUCT($E$23:$N$23,$E$9:$N$9)*$E$10,""))</f>
        <v/>
      </c>
      <c r="AM51" s="29" t="str" cm="1">
        <f t="array" ref="AM51">IF($E$3="纯租赁",IF(AM38*12&lt;=$E$12,$E$4*SUMPRODUCT($E$23:$N$23,$E$9:$N$9)*$E$10,""),IF(AM38*12&lt;=$E$28,$E$4*SUMPRODUCT($E$23:$N$23,$E$9:$N$9)*$E$10,""))</f>
        <v/>
      </c>
      <c r="AN51" s="29" t="str" cm="1">
        <f t="array" ref="AN51">IF($E$3="纯租赁",IF(AN38*12&lt;=$E$12,$E$4*SUMPRODUCT($E$23:$N$23,$E$9:$N$9)*$E$10,""),IF(AN38*12&lt;=$E$28,$E$4*SUMPRODUCT($E$23:$N$23,$E$9:$N$9)*$E$10,""))</f>
        <v/>
      </c>
      <c r="AO51" s="29" t="str" cm="1">
        <f t="array" ref="AO51">IF($E$3="纯租赁",IF(AO38*12&lt;=$E$12,$E$4*SUMPRODUCT($E$23:$N$23,$E$9:$N$9)*$E$10,""),IF(AO38*12&lt;=$E$28,$E$4*SUMPRODUCT($E$23:$N$23,$E$9:$N$9)*$E$10,""))</f>
        <v/>
      </c>
      <c r="AP51" s="29" t="str" cm="1">
        <f t="array" ref="AP51">IF($E$3="纯租赁",IF(AP38*12&lt;=$E$12,$E$4*SUMPRODUCT($E$23:$N$23,$E$9:$N$9)*$E$10,""),IF(AP38*12&lt;=$E$28,$E$4*SUMPRODUCT($E$23:$N$23,$E$9:$N$9)*$E$10,""))</f>
        <v/>
      </c>
      <c r="AQ51" s="29" t="str" cm="1">
        <f t="array" ref="AQ51">IF($E$3="纯租赁",IF(AQ38*12&lt;=$E$12,$E$4*SUMPRODUCT($E$23:$N$23,$E$9:$N$9)*$E$10,""),IF(AQ38*12&lt;=$E$28,$E$4*SUMPRODUCT($E$23:$N$23,$E$9:$N$9)*$E$10,""))</f>
        <v/>
      </c>
      <c r="AR51" s="29" t="str" cm="1">
        <f t="array" ref="AR51">IF($E$3="纯租赁",IF(AR38*12&lt;=$E$12,$E$4*SUMPRODUCT($E$23:$N$23,$E$9:$N$9)*$E$10,""),IF(AR38*12&lt;=$E$28,$E$4*SUMPRODUCT($E$23:$N$23,$E$9:$N$9)*$E$10,""))</f>
        <v/>
      </c>
      <c r="AS51" s="29" t="str" cm="1">
        <f t="array" ref="AS51">IF($E$3="纯租赁",IF(AS38*12&lt;=$E$12,$E$4*SUMPRODUCT($E$23:$N$23,$E$9:$N$9)*$E$10,""),IF(AS38*12&lt;=$E$28,$E$4*SUMPRODUCT($E$23:$N$23,$E$9:$N$9)*$E$10,""))</f>
        <v/>
      </c>
      <c r="AT51" s="29" t="str" cm="1">
        <f t="array" ref="AT51">IF($E$3="纯租赁",IF(AT38*12&lt;=$E$12,$E$4*SUMPRODUCT($E$23:$N$23,$E$9:$N$9)*$E$10,""),IF(AT38*12&lt;=$E$28,$E$4*SUMPRODUCT($E$23:$N$23,$E$9:$N$9)*$E$10,""))</f>
        <v/>
      </c>
      <c r="AU51" s="29" t="str" cm="1">
        <f t="array" ref="AU51">IF($E$3="纯租赁",IF(AU38*12&lt;=$E$12,$E$4*SUMPRODUCT($E$23:$N$23,$E$9:$N$9)*$E$10,""),IF(AU38*12&lt;=$E$28,$E$4*SUMPRODUCT($E$23:$N$23,$E$9:$N$9)*$E$10,""))</f>
        <v/>
      </c>
    </row>
    <row r="52" spans="16:47">
      <c r="P52" s="40"/>
      <c r="Q52" s="28"/>
      <c r="R52" s="35" t="s">
        <v>94</v>
      </c>
      <c r="S52" s="29">
        <f t="shared" ref="S52:AB52" si="67">$E$4*E$9*E$24</f>
        <v>0</v>
      </c>
      <c r="T52" s="29">
        <f t="shared" si="67"/>
        <v>0</v>
      </c>
      <c r="U52" s="29">
        <f t="shared" si="67"/>
        <v>0</v>
      </c>
      <c r="V52" s="29">
        <f t="shared" si="67"/>
        <v>0</v>
      </c>
      <c r="W52" s="29">
        <f t="shared" si="67"/>
        <v>0</v>
      </c>
      <c r="X52" s="29">
        <f t="shared" si="67"/>
        <v>0</v>
      </c>
      <c r="Y52" s="29">
        <f t="shared" si="67"/>
        <v>0</v>
      </c>
      <c r="Z52" s="29">
        <f t="shared" si="67"/>
        <v>0</v>
      </c>
      <c r="AA52" s="29">
        <f t="shared" si="67"/>
        <v>0</v>
      </c>
      <c r="AB52" s="29">
        <f t="shared" si="67"/>
        <v>0</v>
      </c>
      <c r="AC52" s="29" cm="1">
        <f t="array" ref="AC52">$E$4*SUMPRODUCT($E$9:$N$9,$E$24:$N$24)</f>
        <v>0</v>
      </c>
      <c r="AD52" s="27">
        <f t="shared" si="55"/>
        <v>0</v>
      </c>
      <c r="AG52" s="28"/>
      <c r="AH52" s="1" t="s">
        <v>94</v>
      </c>
      <c r="AI52" s="35"/>
      <c r="AJ52" s="29" cm="1">
        <f t="array" ref="AJ52">IF($E$3="纯租赁",IF(AJ38*12&lt;=$E$12,$E$4*$E$10*SUMPRODUCT($E$24:$N$24,$E$9:$N$9),""),IF(AJ38*12&lt;=$E$28,$E$4*$E$10*SUMPRODUCT($E$24:$N$24,$E$9:$N$9),""))</f>
        <v>0</v>
      </c>
      <c r="AK52" s="29" cm="1">
        <f t="array" ref="AK52">IF($E$3="纯租赁",IF(AK38*12&lt;=$E$12,$E$4*$E$10*SUMPRODUCT($E$24:$N$24,$E$9:$N$9),""),IF(AK38*12&lt;=$E$28,$E$4*$E$10*SUMPRODUCT($E$24:$N$24,$E$9:$N$9),""))</f>
        <v>0</v>
      </c>
      <c r="AL52" s="29" t="str" cm="1">
        <f t="array" ref="AL52">IF($E$3="纯租赁",IF(AL38*12&lt;=$E$12,$E$4*$E$10*SUMPRODUCT($E$24:$N$24,$E$9:$N$9),""),IF(AL38*12&lt;=$E$28,$E$4*$E$10*SUMPRODUCT($E$24:$N$24,$E$9:$N$9),""))</f>
        <v/>
      </c>
      <c r="AM52" s="29" t="str" cm="1">
        <f t="array" ref="AM52">IF($E$3="纯租赁",IF(AM38*12&lt;=$E$12,$E$4*$E$10*SUMPRODUCT($E$24:$N$24,$E$9:$N$9),""),IF(AM38*12&lt;=$E$28,$E$4*$E$10*SUMPRODUCT($E$24:$N$24,$E$9:$N$9),""))</f>
        <v/>
      </c>
      <c r="AN52" s="29" t="str" cm="1">
        <f t="array" ref="AN52">IF($E$3="纯租赁",IF(AN38*12&lt;=$E$12,$E$4*$E$10*SUMPRODUCT($E$24:$N$24,$E$9:$N$9),""),IF(AN38*12&lt;=$E$28,$E$4*$E$10*SUMPRODUCT($E$24:$N$24,$E$9:$N$9),""))</f>
        <v/>
      </c>
      <c r="AO52" s="29" t="str" cm="1">
        <f t="array" ref="AO52">IF($E$3="纯租赁",IF(AO38*12&lt;=$E$12,$E$4*$E$10*SUMPRODUCT($E$24:$N$24,$E$9:$N$9),""),IF(AO38*12&lt;=$E$28,$E$4*$E$10*SUMPRODUCT($E$24:$N$24,$E$9:$N$9),""))</f>
        <v/>
      </c>
      <c r="AP52" s="29" t="str" cm="1">
        <f t="array" ref="AP52">IF($E$3="纯租赁",IF(AP38*12&lt;=$E$12,$E$4*$E$10*SUMPRODUCT($E$24:$N$24,$E$9:$N$9),""),IF(AP38*12&lt;=$E$28,$E$4*$E$10*SUMPRODUCT($E$24:$N$24,$E$9:$N$9),""))</f>
        <v/>
      </c>
      <c r="AQ52" s="29" t="str" cm="1">
        <f t="array" ref="AQ52">IF($E$3="纯租赁",IF(AQ38*12&lt;=$E$12,$E$4*$E$10*SUMPRODUCT($E$24:$N$24,$E$9:$N$9),""),IF(AQ38*12&lt;=$E$28,$E$4*$E$10*SUMPRODUCT($E$24:$N$24,$E$9:$N$9),""))</f>
        <v/>
      </c>
      <c r="AR52" s="29" t="str" cm="1">
        <f t="array" ref="AR52">IF($E$3="纯租赁",IF(AR38*12&lt;=$E$12,$E$4*$E$10*SUMPRODUCT($E$24:$N$24,$E$9:$N$9),""),IF(AR38*12&lt;=$E$28,$E$4*$E$10*SUMPRODUCT($E$24:$N$24,$E$9:$N$9),""))</f>
        <v/>
      </c>
      <c r="AS52" s="29" t="str" cm="1">
        <f t="array" ref="AS52">IF($E$3="纯租赁",IF(AS38*12&lt;=$E$12,$E$4*$E$10*SUMPRODUCT($E$24:$N$24,$E$9:$N$9),""),IF(AS38*12&lt;=$E$28,$E$4*$E$10*SUMPRODUCT($E$24:$N$24,$E$9:$N$9),""))</f>
        <v/>
      </c>
      <c r="AT52" s="29" t="str" cm="1">
        <f t="array" ref="AT52">IF($E$3="纯租赁",IF(AT38*12&lt;=$E$12,$E$4*$E$10*SUMPRODUCT($E$24:$N$24,$E$9:$N$9),""),IF(AT38*12&lt;=$E$28,$E$4*$E$10*SUMPRODUCT($E$24:$N$24,$E$9:$N$9),""))</f>
        <v/>
      </c>
      <c r="AU52" s="29" t="str" cm="1">
        <f t="array" ref="AU52">IF($E$3="纯租赁",IF(AU38*12&lt;=$E$12,$E$4*$E$10*SUMPRODUCT($E$24:$N$24,$E$9:$N$9),""),IF(AU38*12&lt;=$E$28,$E$4*$E$10*SUMPRODUCT($E$24:$N$24,$E$9:$N$9),""))</f>
        <v/>
      </c>
    </row>
    <row r="53" spans="16:47">
      <c r="P53" s="40"/>
      <c r="Q53" s="28"/>
      <c r="R53" s="35" t="s">
        <v>97</v>
      </c>
      <c r="S53" s="29">
        <f t="shared" ref="S53:AB53" si="68">$E$4*E$9*E$25</f>
        <v>7200</v>
      </c>
      <c r="T53" s="29">
        <f t="shared" si="68"/>
        <v>0</v>
      </c>
      <c r="U53" s="29">
        <f t="shared" si="68"/>
        <v>0</v>
      </c>
      <c r="V53" s="29">
        <f t="shared" si="68"/>
        <v>0</v>
      </c>
      <c r="W53" s="29">
        <f t="shared" si="68"/>
        <v>0</v>
      </c>
      <c r="X53" s="29">
        <f t="shared" si="68"/>
        <v>0</v>
      </c>
      <c r="Y53" s="29">
        <f t="shared" si="68"/>
        <v>0</v>
      </c>
      <c r="Z53" s="29">
        <f t="shared" si="68"/>
        <v>0</v>
      </c>
      <c r="AA53" s="29">
        <f t="shared" si="68"/>
        <v>0</v>
      </c>
      <c r="AB53" s="29">
        <f t="shared" si="68"/>
        <v>0</v>
      </c>
      <c r="AC53" s="29" cm="1">
        <f t="array" ref="AC53">$E$4*SUMPRODUCT($E$9:$N$9,$E$25:$N$25)</f>
        <v>7200</v>
      </c>
      <c r="AD53" s="27">
        <f t="shared" si="55"/>
        <v>0.0476085708644247</v>
      </c>
      <c r="AG53" s="28"/>
      <c r="AH53" s="1" t="s">
        <v>97</v>
      </c>
      <c r="AI53" s="35"/>
      <c r="AJ53" s="29" cm="1">
        <f t="array" ref="AJ53">IF($E$3="纯租赁",IF(AJ38*12&lt;=$E$12,$E$4*$E$10*SUMPRODUCT($E$25:$N$25,$E$9:$N$9),""),IF(AJ38*12&lt;=$E$28,$E$4*$E$10*SUMPRODUCT($E$25:$N$25,$E$9:$N$9),""))</f>
        <v>72000</v>
      </c>
      <c r="AK53" s="29" cm="1">
        <f t="array" ref="AK53">IF($E$3="纯租赁",IF(AK38*12&lt;=$E$12,$E$4*$E$10*SUMPRODUCT($E$25:$N$25,$E$9:$N$9),""),IF(AK38*12&lt;=$E$28,$E$4*$E$10*SUMPRODUCT($E$25:$N$25,$E$9:$N$9),""))</f>
        <v>72000</v>
      </c>
      <c r="AL53" s="29" t="str" cm="1">
        <f t="array" ref="AL53">IF($E$3="纯租赁",IF(AL38*12&lt;=$E$12,$E$4*$E$10*SUMPRODUCT($E$25:$N$25,$E$9:$N$9),""),IF(AL38*12&lt;=$E$28,$E$4*$E$10*SUMPRODUCT($E$25:$N$25,$E$9:$N$9),""))</f>
        <v/>
      </c>
      <c r="AM53" s="29" t="str" cm="1">
        <f t="array" ref="AM53">IF($E$3="纯租赁",IF(AM38*12&lt;=$E$12,$E$4*$E$10*SUMPRODUCT($E$25:$N$25,$E$9:$N$9),""),IF(AM38*12&lt;=$E$28,$E$4*$E$10*SUMPRODUCT($E$25:$N$25,$E$9:$N$9),""))</f>
        <v/>
      </c>
      <c r="AN53" s="29" t="str" cm="1">
        <f t="array" ref="AN53">IF($E$3="纯租赁",IF(AN38*12&lt;=$E$12,$E$4*$E$10*SUMPRODUCT($E$25:$N$25,$E$9:$N$9),""),IF(AN38*12&lt;=$E$28,$E$4*$E$10*SUMPRODUCT($E$25:$N$25,$E$9:$N$9),""))</f>
        <v/>
      </c>
      <c r="AO53" s="29" t="str" cm="1">
        <f t="array" ref="AO53">IF($E$3="纯租赁",IF(AO38*12&lt;=$E$12,$E$4*$E$10*SUMPRODUCT($E$25:$N$25,$E$9:$N$9),""),IF(AO38*12&lt;=$E$28,$E$4*$E$10*SUMPRODUCT($E$25:$N$25,$E$9:$N$9),""))</f>
        <v/>
      </c>
      <c r="AP53" s="29" t="str" cm="1">
        <f t="array" ref="AP53">IF($E$3="纯租赁",IF(AP38*12&lt;=$E$12,$E$4*$E$10*SUMPRODUCT($E$25:$N$25,$E$9:$N$9),""),IF(AP38*12&lt;=$E$28,$E$4*$E$10*SUMPRODUCT($E$25:$N$25,$E$9:$N$9),""))</f>
        <v/>
      </c>
      <c r="AQ53" s="29" t="str" cm="1">
        <f t="array" ref="AQ53">IF($E$3="纯租赁",IF(AQ38*12&lt;=$E$12,$E$4*$E$10*SUMPRODUCT($E$25:$N$25,$E$9:$N$9),""),IF(AQ38*12&lt;=$E$28,$E$4*$E$10*SUMPRODUCT($E$25:$N$25,$E$9:$N$9),""))</f>
        <v/>
      </c>
      <c r="AR53" s="29" t="str" cm="1">
        <f t="array" ref="AR53">IF($E$3="纯租赁",IF(AR38*12&lt;=$E$12,$E$4*$E$10*SUMPRODUCT($E$25:$N$25,$E$9:$N$9),""),IF(AR38*12&lt;=$E$28,$E$4*$E$10*SUMPRODUCT($E$25:$N$25,$E$9:$N$9),""))</f>
        <v/>
      </c>
      <c r="AS53" s="29" t="str" cm="1">
        <f t="array" ref="AS53">IF($E$3="纯租赁",IF(AS38*12&lt;=$E$12,$E$4*$E$10*SUMPRODUCT($E$25:$N$25,$E$9:$N$9),""),IF(AS38*12&lt;=$E$28,$E$4*$E$10*SUMPRODUCT($E$25:$N$25,$E$9:$N$9),""))</f>
        <v/>
      </c>
      <c r="AT53" s="29" t="str" cm="1">
        <f t="array" ref="AT53">IF($E$3="纯租赁",IF(AT38*12&lt;=$E$12,$E$4*$E$10*SUMPRODUCT($E$25:$N$25,$E$9:$N$9),""),IF(AT38*12&lt;=$E$28,$E$4*$E$10*SUMPRODUCT($E$25:$N$25,$E$9:$N$9),""))</f>
        <v/>
      </c>
      <c r="AU53" s="29" t="str" cm="1">
        <f t="array" ref="AU53">IF($E$3="纯租赁",IF(AU38*12&lt;=$E$12,$E$4*$E$10*SUMPRODUCT($E$25:$N$25,$E$9:$N$9),""),IF(AU38*12&lt;=$E$28,$E$4*$E$10*SUMPRODUCT($E$25:$N$25,$E$9:$N$9),""))</f>
        <v/>
      </c>
    </row>
    <row r="54" spans="16:47">
      <c r="P54" s="40"/>
      <c r="Q54" s="28"/>
      <c r="R54" s="35" t="s">
        <v>100</v>
      </c>
      <c r="S54" s="20">
        <f t="shared" ref="S54:AB54" si="69">IF(E$8,$E$4*$E$32*$E$5*E$6,$E$4*$E$33*$E$5*E$6)*E$9</f>
        <v>8190.72</v>
      </c>
      <c r="T54" s="20">
        <f t="shared" si="69"/>
        <v>4686.912</v>
      </c>
      <c r="U54" s="20">
        <f t="shared" si="69"/>
        <v>12513.6</v>
      </c>
      <c r="V54" s="20">
        <f t="shared" si="69"/>
        <v>0</v>
      </c>
      <c r="W54" s="20">
        <f t="shared" si="69"/>
        <v>0</v>
      </c>
      <c r="X54" s="20">
        <f t="shared" si="69"/>
        <v>0</v>
      </c>
      <c r="Y54" s="20">
        <f t="shared" si="69"/>
        <v>0</v>
      </c>
      <c r="Z54" s="20">
        <f t="shared" si="69"/>
        <v>0</v>
      </c>
      <c r="AA54" s="20">
        <f t="shared" si="69"/>
        <v>0</v>
      </c>
      <c r="AB54" s="20">
        <f t="shared" si="69"/>
        <v>0</v>
      </c>
      <c r="AC54" s="29" cm="1">
        <f t="array" ref="AC54">$E$4*$E$5*SUMPRODUCT(IF($E$8:$N$8,$E$32,$E$33),$E$6:$N$6,$E$9:$N$9)</f>
        <v>25391.232</v>
      </c>
      <c r="AD54" s="27">
        <f t="shared" si="55"/>
        <v>0.167894481667645</v>
      </c>
      <c r="AG54" s="28"/>
      <c r="AH54" s="1" t="s">
        <v>100</v>
      </c>
      <c r="AI54" s="35"/>
      <c r="AJ54" s="29" cm="1">
        <f t="array" ref="AJ54">IF($E$3="纯租赁",IF(AJ38*12&lt;=$E$12,$E$4*$E$5*$E$10*SUMPRODUCT(IF($E$8:$N$8,$E$32,$E$33),$E$6:$N$6,$E$9:$N$9),""),IF(AJ38*12&lt;=$E$28,$E$4*$E$5*$E$10*SUMPRODUCT(IF($E$8:$N$8,$E$32,$E$33),$E$6:$N$6,$E$9:$N$9),""))</f>
        <v>253912.32</v>
      </c>
      <c r="AK54" s="29" cm="1">
        <f t="array" ref="AK54">IF($E$3="纯租赁",IF(AK38*12&lt;=$E$12,$E$4*$E$5*$E$10*SUMPRODUCT(IF($E$8:$N$8,$E$32,$E$33),$E$6:$N$6,$E$9:$N$9),""),IF(AK38*12&lt;=$E$28,$E$4*$E$5*$E$10*SUMPRODUCT(IF($E$8:$N$8,$E$32,$E$33),$E$6:$N$6,$E$9:$N$9),""))</f>
        <v>253912.32</v>
      </c>
      <c r="AL54" s="29" t="str" cm="1">
        <f t="array" ref="AL54">IF($E$3="纯租赁",IF(AL38*12&lt;=$E$12,$E$4*$E$5*$E$10*SUMPRODUCT(IF($E$8:$N$8,$E$32,$E$33),$E$6:$N$6,$E$9:$N$9),""),IF(AL38*12&lt;=$E$28,$E$4*$E$5*$E$10*SUMPRODUCT(IF($E$8:$N$8,$E$32,$E$33),$E$6:$N$6,$E$9:$N$9),""))</f>
        <v/>
      </c>
      <c r="AM54" s="29" t="str" cm="1">
        <f t="array" ref="AM54">IF($E$3="纯租赁",IF(AM38*12&lt;=$E$12,$E$4*$E$5*$E$10*SUMPRODUCT(IF($E$8:$N$8,$E$32,$E$33),$E$6:$N$6,$E$9:$N$9),""),IF(AM38*12&lt;=$E$28,$E$4*$E$5*$E$10*SUMPRODUCT(IF($E$8:$N$8,$E$32,$E$33),$E$6:$N$6,$E$9:$N$9),""))</f>
        <v/>
      </c>
      <c r="AN54" s="29" t="str" cm="1">
        <f t="array" ref="AN54">IF($E$3="纯租赁",IF(AN38*12&lt;=$E$12,$E$4*$E$5*$E$10*SUMPRODUCT(IF($E$8:$N$8,$E$32,$E$33),$E$6:$N$6,$E$9:$N$9),""),IF(AN38*12&lt;=$E$28,$E$4*$E$5*$E$10*SUMPRODUCT(IF($E$8:$N$8,$E$32,$E$33),$E$6:$N$6,$E$9:$N$9),""))</f>
        <v/>
      </c>
      <c r="AO54" s="29" t="str" cm="1">
        <f t="array" ref="AO54">IF($E$3="纯租赁",IF(AO38*12&lt;=$E$12,$E$4*$E$5*$E$10*SUMPRODUCT(IF($E$8:$N$8,$E$32,$E$33),$E$6:$N$6,$E$9:$N$9),""),IF(AO38*12&lt;=$E$28,$E$4*$E$5*$E$10*SUMPRODUCT(IF($E$8:$N$8,$E$32,$E$33),$E$6:$N$6,$E$9:$N$9),""))</f>
        <v/>
      </c>
      <c r="AP54" s="29" t="str" cm="1">
        <f t="array" ref="AP54">IF($E$3="纯租赁",IF(AP38*12&lt;=$E$12,$E$4*$E$5*$E$10*SUMPRODUCT(IF($E$8:$N$8,$E$32,$E$33),$E$6:$N$6,$E$9:$N$9),""),IF(AP38*12&lt;=$E$28,$E$4*$E$5*$E$10*SUMPRODUCT(IF($E$8:$N$8,$E$32,$E$33),$E$6:$N$6,$E$9:$N$9),""))</f>
        <v/>
      </c>
      <c r="AQ54" s="29" t="str" cm="1">
        <f t="array" ref="AQ54">IF($E$3="纯租赁",IF(AQ38*12&lt;=$E$12,$E$4*$E$5*$E$10*SUMPRODUCT(IF($E$8:$N$8,$E$32,$E$33),$E$6:$N$6,$E$9:$N$9),""),IF(AQ38*12&lt;=$E$28,$E$4*$E$5*$E$10*SUMPRODUCT(IF($E$8:$N$8,$E$32,$E$33),$E$6:$N$6,$E$9:$N$9),""))</f>
        <v/>
      </c>
      <c r="AR54" s="29" t="str" cm="1">
        <f t="array" ref="AR54">IF($E$3="纯租赁",IF(AR38*12&lt;=$E$12,$E$4*$E$5*$E$10*SUMPRODUCT(IF($E$8:$N$8,$E$32,$E$33),$E$6:$N$6,$E$9:$N$9),""),IF(AR38*12&lt;=$E$28,$E$4*$E$5*$E$10*SUMPRODUCT(IF($E$8:$N$8,$E$32,$E$33),$E$6:$N$6,$E$9:$N$9),""))</f>
        <v/>
      </c>
      <c r="AS54" s="29" t="str" cm="1">
        <f t="array" ref="AS54">IF($E$3="纯租赁",IF(AS38*12&lt;=$E$12,$E$4*$E$5*$E$10*SUMPRODUCT(IF($E$8:$N$8,$E$32,$E$33),$E$6:$N$6,$E$9:$N$9),""),IF(AS38*12&lt;=$E$28,$E$4*$E$5*$E$10*SUMPRODUCT(IF($E$8:$N$8,$E$32,$E$33),$E$6:$N$6,$E$9:$N$9),""))</f>
        <v/>
      </c>
      <c r="AT54" s="29" t="str" cm="1">
        <f t="array" ref="AT54">IF($E$3="纯租赁",IF(AT38*12&lt;=$E$12,$E$4*$E$5*$E$10*SUMPRODUCT(IF($E$8:$N$8,$E$32,$E$33),$E$6:$N$6,$E$9:$N$9),""),IF(AT38*12&lt;=$E$28,$E$4*$E$5*$E$10*SUMPRODUCT(IF($E$8:$N$8,$E$32,$E$33),$E$6:$N$6,$E$9:$N$9),""))</f>
        <v/>
      </c>
      <c r="AU54" s="29" t="str" cm="1">
        <f t="array" ref="AU54">IF($E$3="纯租赁",IF(AU38*12&lt;=$E$12,$E$4*$E$5*$E$10*SUMPRODUCT(IF($E$8:$N$8,$E$32,$E$33),$E$6:$N$6,$E$9:$N$9),""),IF(AU38*12&lt;=$E$28,$E$4*$E$5*$E$10*SUMPRODUCT(IF($E$8:$N$8,$E$32,$E$33),$E$6:$N$6,$E$9:$N$9),""))</f>
        <v/>
      </c>
    </row>
    <row r="55" spans="16:47">
      <c r="Q55" s="22"/>
      <c r="R55" s="23" t="s">
        <v>103</v>
      </c>
      <c r="S55" s="24" cm="1">
        <f t="array" ref="S55">$AC55*E$6*E$9/(SUMPRODUCT($E$6:$N$6,$E$9:$N$9))</f>
        <v>1960.2</v>
      </c>
      <c r="T55" s="24" cm="1">
        <f t="array" ref="T55">$AC55*F$6*F$9/(SUMPRODUCT($E$6:$N$6,$E$9:$N$9))</f>
        <v>1121.67</v>
      </c>
      <c r="U55" s="24" cm="1">
        <f t="array" ref="U55">$AC55*G$6*G$9/(SUMPRODUCT($E$6:$N$6,$E$9:$N$9))</f>
        <v>2994.75</v>
      </c>
      <c r="V55" s="24" cm="1">
        <f t="array" ref="V55">$AC55*H$6*H$9/(SUMPRODUCT($E$6:$N$6,$E$9:$N$9))</f>
        <v>0</v>
      </c>
      <c r="W55" s="24" cm="1">
        <f t="array" ref="W55">$AC55*I$6*I$9/(SUMPRODUCT($E$6:$N$6,$E$9:$N$9))</f>
        <v>0</v>
      </c>
      <c r="X55" s="24" cm="1">
        <f t="array" ref="X55">$AC55*J$6*J$9/(SUMPRODUCT($E$6:$N$6,$E$9:$N$9))</f>
        <v>0</v>
      </c>
      <c r="Y55" s="24" cm="1">
        <f t="array" ref="Y55">$AC55*K$6*K$9/(SUMPRODUCT($E$6:$N$6,$E$9:$N$9))</f>
        <v>0</v>
      </c>
      <c r="Z55" s="24" cm="1">
        <f t="array" ref="Z55">$AC55*L$6*L$9/(SUMPRODUCT($E$6:$N$6,$E$9:$N$9))</f>
        <v>0</v>
      </c>
      <c r="AA55" s="24" cm="1">
        <f t="array" ref="AA55">$AC55*M$6*M$9/(SUMPRODUCT($E$6:$N$6,$E$9:$N$9))</f>
        <v>0</v>
      </c>
      <c r="AB55" s="24" cm="1">
        <f t="array" ref="AB55">$AC55*N$6*N$9/(SUMPRODUCT($E$6:$N$6,$E$9:$N$9))</f>
        <v>0</v>
      </c>
      <c r="AC55" s="24" cm="1">
        <f t="array" ref="AC55">SUMPRODUCT($E$6:$N$6,$E$9:$N$9)/$E$29*$E$30*$E$4*$E$31</f>
        <v>6076.62</v>
      </c>
      <c r="AD55" s="79">
        <f t="shared" si="55"/>
        <v>0.0401804435953028</v>
      </c>
      <c r="AG55" s="22"/>
      <c r="AH55" s="50" t="s">
        <v>103</v>
      </c>
      <c r="AI55" s="23"/>
      <c r="AJ55" s="24" cm="1">
        <f t="array" ref="AJ55">IF($E$3="纯租赁",IF(AJ38*12&lt;=$E$12,SUMPRODUCT($E$6:$N$6,$E$9:$N$9)*$E$10/$E$29*$E$30*$E$4*$E$31,""),IF(AJ38*12&lt;=$E$28,SUMPRODUCT($E$6:$N$6,$E$9:$N$9)*$E$10/$E$29*$E$30*$E$4*$E$31,""))</f>
        <v>60766.2</v>
      </c>
      <c r="AK55" s="24" cm="1">
        <f t="array" ref="AK55">IF($E$3="纯租赁",IF(AK38*12&lt;=$E$12,SUMPRODUCT($E$6:$N$6,$E$9:$N$9)*$E$10/$E$29*$E$30*$E$4*$E$31,""),IF(AK38*12&lt;=$E$28,SUMPRODUCT($E$6:$N$6,$E$9:$N$9)*$E$10/$E$29*$E$30*$E$4*$E$31,""))</f>
        <v>60766.2</v>
      </c>
      <c r="AL55" s="24" t="str" cm="1">
        <f t="array" ref="AL55">IF($E$3="纯租赁",IF(AL38*12&lt;=$E$12,SUMPRODUCT($E$6:$N$6,$E$9:$N$9)*$E$10/$E$29*$E$30*$E$4*$E$31,""),IF(AL38*12&lt;=$E$28,SUMPRODUCT($E$6:$N$6,$E$9:$N$9)*$E$10/$E$29*$E$30*$E$4*$E$31,""))</f>
        <v/>
      </c>
      <c r="AM55" s="24" t="str" cm="1">
        <f t="array" ref="AM55">IF($E$3="纯租赁",IF(AM38*12&lt;=$E$12,SUMPRODUCT($E$6:$N$6,$E$9:$N$9)*$E$10/$E$29*$E$30*$E$4*$E$31,""),IF(AM38*12&lt;=$E$28,SUMPRODUCT($E$6:$N$6,$E$9:$N$9)*$E$10/$E$29*$E$30*$E$4*$E$31,""))</f>
        <v/>
      </c>
      <c r="AN55" s="24" t="str" cm="1">
        <f t="array" ref="AN55">IF($E$3="纯租赁",IF(AN38*12&lt;=$E$12,SUMPRODUCT($E$6:$N$6,$E$9:$N$9)*$E$10/$E$29*$E$30*$E$4*$E$31,""),IF(AN38*12&lt;=$E$28,SUMPRODUCT($E$6:$N$6,$E$9:$N$9)*$E$10/$E$29*$E$30*$E$4*$E$31,""))</f>
        <v/>
      </c>
      <c r="AO55" s="24" t="str" cm="1">
        <f t="array" ref="AO55">IF($E$3="纯租赁",IF(AO38*12&lt;=$E$12,SUMPRODUCT($E$6:$N$6,$E$9:$N$9)*$E$10/$E$29*$E$30*$E$4*$E$31,""),IF(AO38*12&lt;=$E$28,SUMPRODUCT($E$6:$N$6,$E$9:$N$9)*$E$10/$E$29*$E$30*$E$4*$E$31,""))</f>
        <v/>
      </c>
      <c r="AP55" s="24" t="str" cm="1">
        <f t="array" ref="AP55">IF($E$3="纯租赁",IF(AP38*12&lt;=$E$12,SUMPRODUCT($E$6:$N$6,$E$9:$N$9)*$E$10/$E$29*$E$30*$E$4*$E$31,""),IF(AP38*12&lt;=$E$28,SUMPRODUCT($E$6:$N$6,$E$9:$N$9)*$E$10/$E$29*$E$30*$E$4*$E$31,""))</f>
        <v/>
      </c>
      <c r="AQ55" s="24" t="str" cm="1">
        <f t="array" ref="AQ55">IF($E$3="纯租赁",IF(AQ38*12&lt;=$E$12,SUMPRODUCT($E$6:$N$6,$E$9:$N$9)*$E$10/$E$29*$E$30*$E$4*$E$31,""),IF(AQ38*12&lt;=$E$28,SUMPRODUCT($E$6:$N$6,$E$9:$N$9)*$E$10/$E$29*$E$30*$E$4*$E$31,""))</f>
        <v/>
      </c>
      <c r="AR55" s="24" t="str" cm="1">
        <f t="array" ref="AR55">IF($E$3="纯租赁",IF(AR38*12&lt;=$E$12,SUMPRODUCT($E$6:$N$6,$E$9:$N$9)*$E$10/$E$29*$E$30*$E$4*$E$31,""),IF(AR38*12&lt;=$E$28,SUMPRODUCT($E$6:$N$6,$E$9:$N$9)*$E$10/$E$29*$E$30*$E$4*$E$31,""))</f>
        <v/>
      </c>
      <c r="AS55" s="24" t="str" cm="1">
        <f t="array" ref="AS55">IF($E$3="纯租赁",IF(AS38*12&lt;=$E$12,SUMPRODUCT($E$6:$N$6,$E$9:$N$9)*$E$10/$E$29*$E$30*$E$4*$E$31,""),IF(AS38*12&lt;=$E$28,SUMPRODUCT($E$6:$N$6,$E$9:$N$9)*$E$10/$E$29*$E$30*$E$4*$E$31,""))</f>
        <v/>
      </c>
      <c r="AT55" s="24" t="str" cm="1">
        <f t="array" ref="AT55">IF($E$3="纯租赁",IF(AT38*12&lt;=$E$12,SUMPRODUCT($E$6:$N$6,$E$9:$N$9)*$E$10/$E$29*$E$30*$E$4*$E$31,""),IF(AT38*12&lt;=$E$28,SUMPRODUCT($E$6:$N$6,$E$9:$N$9)*$E$10/$E$29*$E$30*$E$4*$E$31,""))</f>
        <v/>
      </c>
      <c r="AU55" s="24" t="str" cm="1">
        <f t="array" ref="AU55">IF($E$3="纯租赁",IF(AU38*12&lt;=$E$12,SUMPRODUCT($E$6:$N$6,$E$9:$N$9)*$E$10/$E$29*$E$30*$E$4*$E$31,""),IF(AU38*12&lt;=$E$28,SUMPRODUCT($E$6:$N$6,$E$9:$N$9)*$E$10/$E$29*$E$30*$E$4*$E$31,""))</f>
        <v/>
      </c>
    </row>
    <row r="56" spans="16:47">
      <c r="P56" s="40"/>
      <c r="Q56" s="28" t="s">
        <v>16</v>
      </c>
      <c r="R56" s="35" t="s">
        <v>106</v>
      </c>
      <c r="S56" s="29" cm="1">
        <f t="array" ref="S56">$AC56*E$6*E$9/(SUMPRODUCT($E$6:$N$6,$E$9:$N$9))</f>
        <v>0</v>
      </c>
      <c r="T56" s="29" cm="1">
        <f t="array" ref="T56">$AC56*F$6*F$9/(SUMPRODUCT($E$6:$N$6,$E$9:$N$9))</f>
        <v>0</v>
      </c>
      <c r="U56" s="29" cm="1">
        <f t="array" ref="U56">$AC56*G$6*G$9/(SUMPRODUCT($E$6:$N$6,$E$9:$N$9))</f>
        <v>0</v>
      </c>
      <c r="V56" s="29" cm="1">
        <f t="array" ref="V56">$AC56*H$6*H$9/(SUMPRODUCT($E$6:$N$6,$E$9:$N$9))</f>
        <v>0</v>
      </c>
      <c r="W56" s="29" cm="1">
        <f t="array" ref="W56">$AC56*I$6*I$9/(SUMPRODUCT($E$6:$N$6,$E$9:$N$9))</f>
        <v>0</v>
      </c>
      <c r="X56" s="29" cm="1">
        <f t="array" ref="X56">$AC56*J$6*J$9/(SUMPRODUCT($E$6:$N$6,$E$9:$N$9))</f>
        <v>0</v>
      </c>
      <c r="Y56" s="29" cm="1">
        <f t="array" ref="Y56">$AC56*K$6*K$9/(SUMPRODUCT($E$6:$N$6,$E$9:$N$9))</f>
        <v>0</v>
      </c>
      <c r="Z56" s="29" cm="1">
        <f t="array" ref="Z56">$AC56*L$6*L$9/(SUMPRODUCT($E$6:$N$6,$E$9:$N$9))</f>
        <v>0</v>
      </c>
      <c r="AA56" s="29" cm="1">
        <f t="array" ref="AA56">$AC56*M$6*M$9/(SUMPRODUCT($E$6:$N$6,$E$9:$N$9))</f>
        <v>0</v>
      </c>
      <c r="AB56" s="29" cm="1">
        <f t="array" ref="AB56">$AC56*N$6*N$9/(SUMPRODUCT($E$6:$N$6,$E$9:$N$9))</f>
        <v>0</v>
      </c>
      <c r="AC56" s="29">
        <f>AC39*$E$34/12*$E$26</f>
        <v>0</v>
      </c>
      <c r="AD56" s="27">
        <f t="shared" si="55"/>
        <v>0</v>
      </c>
      <c r="AG56" s="28" t="s">
        <v>16</v>
      </c>
      <c r="AH56" s="1" t="s">
        <v>106</v>
      </c>
      <c r="AI56" s="35"/>
      <c r="AJ56" s="29">
        <f t="shared" ref="AJ56:AU56" si="70">IFERROR(AJ39*$E$34/12*$E$26,"")</f>
        <v>0</v>
      </c>
      <c r="AK56" s="29">
        <f t="shared" si="70"/>
        <v>0</v>
      </c>
      <c r="AL56" s="29" t="str">
        <f t="shared" si="70"/>
        <v/>
      </c>
      <c r="AM56" s="29" t="str">
        <f t="shared" si="70"/>
        <v/>
      </c>
      <c r="AN56" s="29" t="str">
        <f t="shared" si="70"/>
        <v/>
      </c>
      <c r="AO56" s="29" t="str">
        <f t="shared" si="70"/>
        <v/>
      </c>
      <c r="AP56" s="29" t="str">
        <f t="shared" si="70"/>
        <v/>
      </c>
      <c r="AQ56" s="29" t="str">
        <f t="shared" si="70"/>
        <v/>
      </c>
      <c r="AR56" s="29" t="str">
        <f t="shared" si="70"/>
        <v/>
      </c>
      <c r="AS56" s="29" t="str">
        <f t="shared" si="70"/>
        <v/>
      </c>
      <c r="AT56" s="29" t="str">
        <f t="shared" si="70"/>
        <v/>
      </c>
      <c r="AU56" s="29" t="str">
        <f t="shared" si="70"/>
        <v/>
      </c>
    </row>
    <row r="57" spans="16:47">
      <c r="Q57" s="64"/>
      <c r="R57" s="35" t="s">
        <v>109</v>
      </c>
      <c r="S57" s="29" cm="1">
        <f t="array" ref="S57">$AC57*E$6*E$9/(SUMPRODUCT($E$6:$N$6,$E$9:$N$9))</f>
        <v>270.907248387097</v>
      </c>
      <c r="T57" s="29" cm="1">
        <f t="array" ref="T57">$AC57*F$6*F$9/(SUMPRODUCT($E$6:$N$6,$E$9:$N$9))</f>
        <v>155.019147688172</v>
      </c>
      <c r="U57" s="29" cm="1">
        <f t="array" ref="U57">$AC57*G$6*G$9/(SUMPRODUCT($E$6:$N$6,$E$9:$N$9))</f>
        <v>413.886073924731</v>
      </c>
      <c r="V57" s="29" cm="1">
        <f t="array" ref="V57">$AC57*H$6*H$9/(SUMPRODUCT($E$6:$N$6,$E$9:$N$9))</f>
        <v>0</v>
      </c>
      <c r="W57" s="29" cm="1">
        <f t="array" ref="W57">$AC57*I$6*I$9/(SUMPRODUCT($E$6:$N$6,$E$9:$N$9))</f>
        <v>0</v>
      </c>
      <c r="X57" s="29" cm="1">
        <f t="array" ref="X57">$AC57*J$6*J$9/(SUMPRODUCT($E$6:$N$6,$E$9:$N$9))</f>
        <v>0</v>
      </c>
      <c r="Y57" s="29" cm="1">
        <f t="array" ref="Y57">$AC57*K$6*K$9/(SUMPRODUCT($E$6:$N$6,$E$9:$N$9))</f>
        <v>0</v>
      </c>
      <c r="Z57" s="29" cm="1">
        <f t="array" ref="Z57">$AC57*L$6*L$9/(SUMPRODUCT($E$6:$N$6,$E$9:$N$9))</f>
        <v>0</v>
      </c>
      <c r="AA57" s="29" cm="1">
        <f t="array" ref="AA57">$AC57*M$6*M$9/(SUMPRODUCT($E$6:$N$6,$E$9:$N$9))</f>
        <v>0</v>
      </c>
      <c r="AB57" s="29" cm="1">
        <f t="array" ref="AB57">$AC57*N$6*N$9/(SUMPRODUCT($E$6:$N$6,$E$9:$N$9))</f>
        <v>0</v>
      </c>
      <c r="AC57" s="29">
        <f>($E$4*$E$13*12/$E$10+SUM(AC42:AC55))*$E$35/12*$E$27</f>
        <v>839.81247</v>
      </c>
      <c r="AD57" s="27">
        <f t="shared" si="55"/>
        <v>0.00555309326261424</v>
      </c>
      <c r="AG57" s="28"/>
      <c r="AH57" s="1" t="s">
        <v>109</v>
      </c>
      <c r="AI57" s="35"/>
      <c r="AJ57" s="29">
        <f t="shared" ref="AJ57:AU57" si="71">IF($E$3="纯租赁",IF(AJ38*12&lt;=$E$12,SUM(AJ41:AJ55)*$E$35/12*$E$27,""),IF(AJ38*12&lt;=$E$28,SUM(AJ41:AJ55)*$E$35/12*$E$27,""))</f>
        <v>8398.1247</v>
      </c>
      <c r="AK57" s="29">
        <f t="shared" si="71"/>
        <v>8398.1247</v>
      </c>
      <c r="AL57" s="29" t="str">
        <f t="shared" si="71"/>
        <v/>
      </c>
      <c r="AM57" s="29" t="str">
        <f t="shared" si="71"/>
        <v/>
      </c>
      <c r="AN57" s="29" t="str">
        <f t="shared" si="71"/>
        <v/>
      </c>
      <c r="AO57" s="29" t="str">
        <f t="shared" si="71"/>
        <v/>
      </c>
      <c r="AP57" s="29" t="str">
        <f t="shared" si="71"/>
        <v/>
      </c>
      <c r="AQ57" s="29" t="str">
        <f t="shared" si="71"/>
        <v/>
      </c>
      <c r="AR57" s="29" t="str">
        <f t="shared" si="71"/>
        <v/>
      </c>
      <c r="AS57" s="29" t="str">
        <f t="shared" si="71"/>
        <v/>
      </c>
      <c r="AT57" s="29" t="str">
        <f t="shared" si="71"/>
        <v/>
      </c>
      <c r="AU57" s="29" t="str">
        <f t="shared" si="71"/>
        <v/>
      </c>
    </row>
    <row r="58" spans="16:47">
      <c r="Q58" s="53" t="s">
        <v>17</v>
      </c>
      <c r="R58" s="65" t="s">
        <v>112</v>
      </c>
      <c r="S58" s="55" cm="1">
        <f t="array" ref="S58">$AC58*E$6*E$9/(SUMPRODUCT($E$6:$N$6,$E$9:$N$9))</f>
        <v>4588.16217815922</v>
      </c>
      <c r="T58" s="55" cm="1">
        <f t="array" ref="T58">$AC58*F$6*F$9/(SUMPRODUCT($E$6:$N$6,$E$9:$N$9))</f>
        <v>2625.44835750222</v>
      </c>
      <c r="U58" s="55" cm="1">
        <f t="array" ref="U58">$AC58*G$6*G$9/(SUMPRODUCT($E$6:$N$6,$E$9:$N$9))</f>
        <v>7009.69221663214</v>
      </c>
      <c r="V58" s="55" cm="1">
        <f t="array" ref="V58">$AC58*H$6*H$9/(SUMPRODUCT($E$6:$N$6,$E$9:$N$9))</f>
        <v>0</v>
      </c>
      <c r="W58" s="55" cm="1">
        <f t="array" ref="W58">$AC58*I$6*I$9/(SUMPRODUCT($E$6:$N$6,$E$9:$N$9))</f>
        <v>0</v>
      </c>
      <c r="X58" s="55" cm="1">
        <f t="array" ref="X58">$AC58*J$6*J$9/(SUMPRODUCT($E$6:$N$6,$E$9:$N$9))</f>
        <v>0</v>
      </c>
      <c r="Y58" s="55" cm="1">
        <f t="array" ref="Y58">$AC58*K$6*K$9/(SUMPRODUCT($E$6:$N$6,$E$9:$N$9))</f>
        <v>0</v>
      </c>
      <c r="Z58" s="55" cm="1">
        <f t="array" ref="Z58">$AC58*L$6*L$9/(SUMPRODUCT($E$6:$N$6,$E$9:$N$9))</f>
        <v>0</v>
      </c>
      <c r="AA58" s="55" cm="1">
        <f t="array" ref="AA58">$AC58*M$6*M$9/(SUMPRODUCT($E$6:$N$6,$E$9:$N$9))</f>
        <v>0</v>
      </c>
      <c r="AB58" s="55" cm="1">
        <f t="array" ref="AB58">$AC58*N$6*N$9/(SUMPRODUCT($E$6:$N$6,$E$9:$N$9))</f>
        <v>0</v>
      </c>
      <c r="AC58" s="55">
        <f>AC39*0.09/1.09</f>
        <v>14223.3027522936</v>
      </c>
      <c r="AD58" s="83">
        <f>AC60/AC61</f>
        <v>0.0424880617178022</v>
      </c>
      <c r="AG58" s="53" t="s">
        <v>17</v>
      </c>
      <c r="AH58" s="54" t="s">
        <v>112</v>
      </c>
      <c r="AI58" s="65"/>
      <c r="AJ58" s="55">
        <f t="shared" ref="AJ58:AU58" si="72">IFERROR(AJ39*0.09/1.09,"")</f>
        <v>142233.027522936</v>
      </c>
      <c r="AK58" s="55">
        <f t="shared" si="72"/>
        <v>142233.027522936</v>
      </c>
      <c r="AL58" s="55" t="str">
        <f t="shared" si="72"/>
        <v/>
      </c>
      <c r="AM58" s="55" t="str">
        <f t="shared" si="72"/>
        <v/>
      </c>
      <c r="AN58" s="55" t="str">
        <f t="shared" si="72"/>
        <v/>
      </c>
      <c r="AO58" s="55" t="str">
        <f t="shared" si="72"/>
        <v/>
      </c>
      <c r="AP58" s="55" t="str">
        <f t="shared" si="72"/>
        <v/>
      </c>
      <c r="AQ58" s="55" t="str">
        <f t="shared" si="72"/>
        <v/>
      </c>
      <c r="AR58" s="55" t="str">
        <f t="shared" si="72"/>
        <v/>
      </c>
      <c r="AS58" s="55" t="str">
        <f t="shared" si="72"/>
        <v/>
      </c>
      <c r="AT58" s="55" t="str">
        <f t="shared" si="72"/>
        <v/>
      </c>
      <c r="AU58" s="55" t="str">
        <f t="shared" si="72"/>
        <v/>
      </c>
    </row>
    <row r="59" spans="16:47">
      <c r="Q59" s="64"/>
      <c r="R59" s="66" t="s">
        <v>115</v>
      </c>
      <c r="S59" s="57" cm="1">
        <f t="array" ref="S59">$AC59*E$6*E$9/(SUMPRODUCT($E$6:$N$6,$E$9:$N$9))</f>
        <v>2515.38519694709</v>
      </c>
      <c r="T59" s="57" cm="1">
        <f t="array" ref="T59">$AC59*F$6*F$9/(SUMPRODUCT($E$6:$N$6,$E$9:$N$9))</f>
        <v>1439.35930714195</v>
      </c>
      <c r="U59" s="57" cm="1">
        <f t="array" ref="U59">$AC59*G$6*G$9/(SUMPRODUCT($E$6:$N$6,$E$9:$N$9))</f>
        <v>3842.94960644695</v>
      </c>
      <c r="V59" s="57" cm="1">
        <f t="array" ref="V59">$AC59*H$6*H$9/(SUMPRODUCT($E$6:$N$6,$E$9:$N$9))</f>
        <v>0</v>
      </c>
      <c r="W59" s="57" cm="1">
        <f t="array" ref="W59">$AC59*I$6*I$9/(SUMPRODUCT($E$6:$N$6,$E$9:$N$9))</f>
        <v>0</v>
      </c>
      <c r="X59" s="57" cm="1">
        <f t="array" ref="X59">$AC59*J$6*J$9/(SUMPRODUCT($E$6:$N$6,$E$9:$N$9))</f>
        <v>0</v>
      </c>
      <c r="Y59" s="57" cm="1">
        <f t="array" ref="Y59">$AC59*K$6*K$9/(SUMPRODUCT($E$6:$N$6,$E$9:$N$9))</f>
        <v>0</v>
      </c>
      <c r="Z59" s="57" cm="1">
        <f t="array" ref="Z59">$AC59*L$6*L$9/(SUMPRODUCT($E$6:$N$6,$E$9:$N$9))</f>
        <v>0</v>
      </c>
      <c r="AA59" s="57" cm="1">
        <f t="array" ref="AA59">$AC59*M$6*M$9/(SUMPRODUCT($E$6:$N$6,$E$9:$N$9))</f>
        <v>0</v>
      </c>
      <c r="AB59" s="57" cm="1">
        <f t="array" ref="AB59">$AC59*N$6*N$9/(SUMPRODUCT($E$6:$N$6,$E$9:$N$9))</f>
        <v>0</v>
      </c>
      <c r="AC59" s="57">
        <f>(AC41+AC54+AC55)*0.13/1.13+AC46*0.06/1.06</f>
        <v>7797.69411053598</v>
      </c>
      <c r="AD59" s="84"/>
      <c r="AG59" s="28"/>
      <c r="AH59" s="56" t="s">
        <v>115</v>
      </c>
      <c r="AI59" s="57">
        <f>AI40*0.13/1.13</f>
        <v>0</v>
      </c>
      <c r="AJ59" s="57">
        <f t="shared" ref="AJ59:AU59" si="73">IFERROR((AJ41+AJ54+AJ55)*0.13/1.13+AJ46*0.06/1.06,"")</f>
        <v>77976.9411053598</v>
      </c>
      <c r="AK59" s="57">
        <f t="shared" si="73"/>
        <v>77976.9411053598</v>
      </c>
      <c r="AL59" s="57" t="str">
        <f t="shared" si="73"/>
        <v/>
      </c>
      <c r="AM59" s="57" t="str">
        <f t="shared" si="73"/>
        <v/>
      </c>
      <c r="AN59" s="57" t="str">
        <f t="shared" si="73"/>
        <v/>
      </c>
      <c r="AO59" s="57" t="str">
        <f t="shared" si="73"/>
        <v/>
      </c>
      <c r="AP59" s="57" t="str">
        <f t="shared" si="73"/>
        <v/>
      </c>
      <c r="AQ59" s="57" t="str">
        <f t="shared" si="73"/>
        <v/>
      </c>
      <c r="AR59" s="57" t="str">
        <f t="shared" si="73"/>
        <v/>
      </c>
      <c r="AS59" s="57" t="str">
        <f t="shared" si="73"/>
        <v/>
      </c>
      <c r="AT59" s="57" t="str">
        <f t="shared" si="73"/>
        <v/>
      </c>
      <c r="AU59" s="57" t="str">
        <f t="shared" si="73"/>
        <v/>
      </c>
    </row>
    <row r="60" spans="16:47">
      <c r="Q60" s="22"/>
      <c r="R60" s="23" t="s">
        <v>118</v>
      </c>
      <c r="S60" s="24">
        <f t="shared" ref="S60:AC60" si="74">MAX(0,S58-S59)</f>
        <v>2072.77698121213</v>
      </c>
      <c r="T60" s="24">
        <f t="shared" si="74"/>
        <v>1186.08905036027</v>
      </c>
      <c r="U60" s="24">
        <f t="shared" si="74"/>
        <v>3166.74261018519</v>
      </c>
      <c r="V60" s="24">
        <f t="shared" si="74"/>
        <v>0</v>
      </c>
      <c r="W60" s="24">
        <f t="shared" si="74"/>
        <v>0</v>
      </c>
      <c r="X60" s="24">
        <f t="shared" si="74"/>
        <v>0</v>
      </c>
      <c r="Y60" s="24">
        <f t="shared" si="74"/>
        <v>0</v>
      </c>
      <c r="Z60" s="24">
        <f t="shared" si="74"/>
        <v>0</v>
      </c>
      <c r="AA60" s="24">
        <f t="shared" si="74"/>
        <v>0</v>
      </c>
      <c r="AB60" s="24">
        <f t="shared" si="74"/>
        <v>0</v>
      </c>
      <c r="AC60" s="24">
        <f t="shared" si="74"/>
        <v>6425.60864175759</v>
      </c>
      <c r="AD60" s="85"/>
      <c r="AG60" s="22"/>
      <c r="AH60" s="50" t="s">
        <v>118</v>
      </c>
      <c r="AI60" s="24">
        <f>AI58-AI59</f>
        <v>0</v>
      </c>
      <c r="AJ60" s="24">
        <f t="shared" ref="AJ60:AU60" si="75">IFERROR(MAX(0,AJ58-AJ59),"")</f>
        <v>64256.0864175759</v>
      </c>
      <c r="AK60" s="24">
        <f t="shared" si="75"/>
        <v>64256.0864175759</v>
      </c>
      <c r="AL60" s="24" t="str">
        <f t="shared" si="75"/>
        <v/>
      </c>
      <c r="AM60" s="24" t="str">
        <f t="shared" si="75"/>
        <v/>
      </c>
      <c r="AN60" s="24" t="str">
        <f t="shared" si="75"/>
        <v/>
      </c>
      <c r="AO60" s="24" t="str">
        <f t="shared" si="75"/>
        <v/>
      </c>
      <c r="AP60" s="24" t="str">
        <f t="shared" si="75"/>
        <v/>
      </c>
      <c r="AQ60" s="24" t="str">
        <f t="shared" si="75"/>
        <v/>
      </c>
      <c r="AR60" s="24" t="str">
        <f t="shared" si="75"/>
        <v/>
      </c>
      <c r="AS60" s="24" t="str">
        <f t="shared" si="75"/>
        <v/>
      </c>
      <c r="AT60" s="24" t="str">
        <f t="shared" si="75"/>
        <v/>
      </c>
      <c r="AU60" s="24" t="str">
        <f t="shared" si="75"/>
        <v/>
      </c>
    </row>
    <row r="61" ht="16.5" spans="16:47">
      <c r="Q61" s="44" t="s">
        <v>138</v>
      </c>
      <c r="R61" s="44"/>
      <c r="S61" s="76">
        <f t="shared" ref="S61:AB61" si="76">SUM(S41:S57)+S60</f>
        <v>86219.1203586315</v>
      </c>
      <c r="T61" s="76">
        <f t="shared" si="76"/>
        <v>17715.4966496613</v>
      </c>
      <c r="U61" s="76">
        <f t="shared" si="76"/>
        <v>47298.6561034648</v>
      </c>
      <c r="V61" s="76">
        <f t="shared" si="76"/>
        <v>0</v>
      </c>
      <c r="W61" s="76">
        <f t="shared" si="76"/>
        <v>0</v>
      </c>
      <c r="X61" s="76">
        <f t="shared" si="76"/>
        <v>0</v>
      </c>
      <c r="Y61" s="76">
        <f t="shared" si="76"/>
        <v>0</v>
      </c>
      <c r="Z61" s="76">
        <f t="shared" si="76"/>
        <v>0</v>
      </c>
      <c r="AA61" s="76">
        <f t="shared" si="76"/>
        <v>0</v>
      </c>
      <c r="AB61" s="76">
        <f t="shared" si="76"/>
        <v>0</v>
      </c>
      <c r="AC61" s="77">
        <f>SUM(AC41:AC57)+MAX(0,AC58-AC59)</f>
        <v>151233.273111758</v>
      </c>
      <c r="AD61" s="77"/>
      <c r="AG61" s="48" t="s">
        <v>121</v>
      </c>
      <c r="AH61" s="48"/>
      <c r="AI61" s="58">
        <f>-AI40+AI60</f>
        <v>0</v>
      </c>
      <c r="AJ61" s="58">
        <f t="shared" ref="AJ61:AU61" si="77">IFERROR(AJ39-SUM(AJ41:AJ57)-AJ60,"")</f>
        <v>210267.268882424</v>
      </c>
      <c r="AK61" s="58">
        <f t="shared" si="77"/>
        <v>210267.268882424</v>
      </c>
      <c r="AL61" s="58" t="str">
        <f t="shared" si="77"/>
        <v/>
      </c>
      <c r="AM61" s="58" t="str">
        <f t="shared" si="77"/>
        <v/>
      </c>
      <c r="AN61" s="58" t="str">
        <f t="shared" si="77"/>
        <v/>
      </c>
      <c r="AO61" s="58" t="str">
        <f t="shared" si="77"/>
        <v/>
      </c>
      <c r="AP61" s="58" t="str">
        <f t="shared" si="77"/>
        <v/>
      </c>
      <c r="AQ61" s="58" t="str">
        <f t="shared" si="77"/>
        <v/>
      </c>
      <c r="AR61" s="58" t="str">
        <f t="shared" si="77"/>
        <v/>
      </c>
      <c r="AS61" s="58" t="str">
        <f t="shared" si="77"/>
        <v/>
      </c>
      <c r="AT61" s="58" t="str">
        <f t="shared" si="77"/>
        <v/>
      </c>
      <c r="AU61" s="58" t="str">
        <f t="shared" si="77"/>
        <v/>
      </c>
    </row>
    <row r="62" ht="16.5" spans="16:47">
      <c r="Q62" s="69" t="s">
        <v>140</v>
      </c>
      <c r="R62" s="69"/>
      <c r="S62" s="58">
        <f t="shared" ref="S62:AB62" si="78">S40-S61</f>
        <v>-26819.1203586315</v>
      </c>
      <c r="T62" s="58">
        <f t="shared" si="78"/>
        <v>29804.5033503387</v>
      </c>
      <c r="U62" s="58">
        <f t="shared" si="78"/>
        <v>18041.3438965352</v>
      </c>
      <c r="V62" s="58">
        <f t="shared" si="78"/>
        <v>0</v>
      </c>
      <c r="W62" s="58">
        <f t="shared" si="78"/>
        <v>0</v>
      </c>
      <c r="X62" s="58">
        <f t="shared" si="78"/>
        <v>0</v>
      </c>
      <c r="Y62" s="58">
        <f t="shared" si="78"/>
        <v>0</v>
      </c>
      <c r="Z62" s="58">
        <f t="shared" si="78"/>
        <v>0</v>
      </c>
      <c r="AA62" s="58">
        <f t="shared" si="78"/>
        <v>0</v>
      </c>
      <c r="AB62" s="58">
        <f t="shared" si="78"/>
        <v>0</v>
      </c>
      <c r="AC62" s="86">
        <f>AC39-AC61</f>
        <v>21026.7268882424</v>
      </c>
      <c r="AD62" s="86"/>
      <c r="AG62" s="48" t="s">
        <v>124</v>
      </c>
      <c r="AH62" s="48"/>
      <c r="AI62" s="58">
        <f>IF($E$3="纯租赁",IF(AI38*12&lt;=$E$12,SUM($AI$61:AI61),""),IF(AI38*12&lt;=$E$28,SUM($AI$61:AI61),""))</f>
        <v>0</v>
      </c>
      <c r="AJ62" s="58">
        <f>IF($E$3="纯租赁",IF(AJ38*12&lt;=$E$12,SUM($AI$61:AJ61),""),IF(AJ38*12&lt;=$E$28,SUM($AI$61:AJ61),""))</f>
        <v>210267.268882424</v>
      </c>
      <c r="AK62" s="58">
        <f>IF($E$3="纯租赁",IF(AK38*12&lt;=$E$12,SUM($AI$61:AK61),""),IF(AK38*12&lt;=$E$28,SUM($AI$61:AK61),""))</f>
        <v>420534.537764848</v>
      </c>
      <c r="AL62" s="58" t="str">
        <f>IF($E$3="纯租赁",IF(AL38*12&lt;=$E$12,SUM($AI$61:AL61),""),IF(AL38*12&lt;=$E$28,SUM($AI$61:AL61),""))</f>
        <v/>
      </c>
      <c r="AM62" s="58" t="str">
        <f>IF($E$3="纯租赁",IF(AM38*12&lt;=$E$12,SUM($AI$61:AM61),""),IF(AM38*12&lt;=$E$28,SUM($AI$61:AM61),""))</f>
        <v/>
      </c>
      <c r="AN62" s="58" t="str">
        <f>IF($E$3="纯租赁",IF(AN38*12&lt;=$E$12,SUM($AI$61:AN61),""),IF(AN38*12&lt;=$E$28,SUM($AI$61:AN61),""))</f>
        <v/>
      </c>
      <c r="AO62" s="58" t="str">
        <f>IF($E$3="纯租赁",IF(AO38*12&lt;=$E$12,SUM($AI$61:AO61),""),IF(AO38*12&lt;=$E$28,SUM($AI$61:AO61),""))</f>
        <v/>
      </c>
      <c r="AP62" s="58" t="str">
        <f>IF($E$3="纯租赁",IF(AP38*12&lt;=$E$12,SUM($AI$61:AP61),""),IF(AP38*12&lt;=$E$28,SUM($AI$61:AP61),""))</f>
        <v/>
      </c>
      <c r="AQ62" s="58" t="str">
        <f>IF($E$3="纯租赁",IF(AQ38*12&lt;=$E$12,SUM($AI$61:AQ61),""),IF(AQ38*12&lt;=$E$28,SUM($AI$61:AQ61),""))</f>
        <v/>
      </c>
      <c r="AR62" s="58" t="str">
        <f>IF($E$3="纯租赁",IF(AR38*12&lt;=$E$12,SUM($AI$61:AR61),""),IF(AR38*12&lt;=$E$28,SUM($AI$61:AR61),""))</f>
        <v/>
      </c>
      <c r="AS62" s="58" t="str">
        <f>IF($E$3="纯租赁",IF(AS38*12&lt;=$E$12,SUM($AI$61:AS61),""),IF(AS38*12&lt;=$E$28,SUM($AI$61:AS61),""))</f>
        <v/>
      </c>
      <c r="AT62" s="58" t="str">
        <f>IF($E$3="纯租赁",IF(AT38*12&lt;=$E$12,SUM($AI$61:AT61),""),IF(AT38*12&lt;=$E$28,SUM($AI$61:AT61),""))</f>
        <v/>
      </c>
      <c r="AU62" s="58" t="str">
        <f>IF($E$3="纯租赁",IF(AU38*12&lt;=$E$12,SUM($AI$61:AU61),""),IF(AU38*12&lt;=$E$28,SUM($AI$61:AU61),""))</f>
        <v/>
      </c>
    </row>
    <row r="63" spans="16:47">
      <c r="AG63" s="48" t="s">
        <v>152</v>
      </c>
      <c r="AH63" s="48"/>
      <c r="AI63" s="59" t="e">
        <f>IRR(AI61:AM61)</f>
        <v>#NUM!</v>
      </c>
    </row>
    <row r="64" spans="16:47">
      <c r="AG64" s="48" t="s">
        <v>153</v>
      </c>
      <c r="AH64" s="48"/>
      <c r="AI64" s="59" t="e">
        <f>IRR(AI61:AN61)</f>
        <v>#NUM!</v>
      </c>
    </row>
    <row r="65" spans="17:35">
      <c r="AG65" s="48" t="s">
        <v>154</v>
      </c>
      <c r="AH65" s="48"/>
      <c r="AI65" s="59" t="e">
        <f>IRR(AI61:AO61)</f>
        <v>#NUM!</v>
      </c>
    </row>
    <row r="66" spans="17:35">
      <c r="AG66" s="48" t="s">
        <v>155</v>
      </c>
      <c r="AH66" s="48"/>
      <c r="AI66" s="59" t="e">
        <f>IRR(AI61:AQ61)</f>
        <v>#NUM!</v>
      </c>
    </row>
    <row r="67" ht="16.5" spans="17:35">
      <c r="Q67" s="5" t="s">
        <v>156</v>
      </c>
    </row>
    <row r="68" spans="17:35">
      <c r="Q68" s="9" t="str">
        <f>IF($E$3="纯租赁","年份","车辆折旧年限")</f>
        <v>年份</v>
      </c>
      <c r="R68" s="9"/>
      <c r="S68" s="87">
        <f>IF($E$3="纯租赁",1,MAX(1,ROUNDDOWN($E$28/12,0)))</f>
        <v>1</v>
      </c>
      <c r="T68" s="87">
        <f t="shared" ref="T68:AD68" si="79">IF($E$3="纯租赁",S68+1,S68+1)</f>
        <v>2</v>
      </c>
      <c r="U68" s="87">
        <f t="shared" si="79"/>
        <v>3</v>
      </c>
      <c r="V68" s="87">
        <f t="shared" si="79"/>
        <v>4</v>
      </c>
      <c r="W68" s="87">
        <f t="shared" si="79"/>
        <v>5</v>
      </c>
      <c r="X68" s="87">
        <f t="shared" si="79"/>
        <v>6</v>
      </c>
      <c r="Y68" s="87">
        <f t="shared" si="79"/>
        <v>7</v>
      </c>
      <c r="Z68" s="87">
        <f t="shared" si="79"/>
        <v>8</v>
      </c>
      <c r="AA68" s="87">
        <f t="shared" si="79"/>
        <v>9</v>
      </c>
      <c r="AB68" s="87">
        <f t="shared" si="79"/>
        <v>10</v>
      </c>
      <c r="AC68" s="87">
        <f t="shared" si="79"/>
        <v>11</v>
      </c>
      <c r="AD68" s="87">
        <f t="shared" si="79"/>
        <v>12</v>
      </c>
    </row>
    <row r="69" spans="17:35">
      <c r="Q69" s="64" t="s">
        <v>13</v>
      </c>
      <c r="R69" s="35" t="s">
        <v>49</v>
      </c>
      <c r="S69" s="29" cm="1">
        <f t="array" ref="S69">IF($E$3="纯租赁",IF(S68*12&lt;=$E$12,$E$4*SUMPRODUCT($E$7:$N$7,$E$8:$N$8,$E$9:$N$9)*$E$10,""),$E$4*SUMPRODUCT($E$7:$N$7,$E$8:$N$8,$E$9:$N$9)*$E$10)</f>
        <v>1722600</v>
      </c>
      <c r="T69" s="29" cm="1">
        <f t="array" ref="T69">IF($E$3="纯租赁",IF(T68*12&lt;=$E$12,$E$4*SUMPRODUCT($E$7:$N$7,$E$8:$N$8,$E$9:$N$9)*$E$10,""),$E$4*SUMPRODUCT($E$7:$N$7,$E$8:$N$8,$E$9:$N$9)*$E$10)</f>
        <v>1722600</v>
      </c>
      <c r="U69" s="29" t="str" cm="1">
        <f t="array" ref="U69">IF($E$3="纯租赁",IF(U68*12&lt;=$E$12,$E$4*SUMPRODUCT($E$7:$N$7,$E$8:$N$8,$E$9:$N$9)*$E$10,""),$E$4*SUMPRODUCT($E$7:$N$7,$E$8:$N$8,$E$9:$N$9)*$E$10)</f>
        <v/>
      </c>
      <c r="V69" s="29" t="str" cm="1">
        <f t="array" ref="V69">IF($E$3="纯租赁",IF(V68*12&lt;=$E$12,$E$4*SUMPRODUCT($E$7:$N$7,$E$8:$N$8,$E$9:$N$9)*$E$10,""),$E$4*SUMPRODUCT($E$7:$N$7,$E$8:$N$8,$E$9:$N$9)*$E$10)</f>
        <v/>
      </c>
      <c r="W69" s="29" t="str" cm="1">
        <f t="array" ref="W69">IF($E$3="纯租赁",IF(W68*12&lt;=$E$12,$E$4*SUMPRODUCT($E$7:$N$7,$E$8:$N$8,$E$9:$N$9)*$E$10,""),$E$4*SUMPRODUCT($E$7:$N$7,$E$8:$N$8,$E$9:$N$9)*$E$10)</f>
        <v/>
      </c>
      <c r="X69" s="29" t="str" cm="1">
        <f t="array" ref="X69">IF($E$3="纯租赁",IF(X68*12&lt;=$E$12,$E$4*SUMPRODUCT($E$7:$N$7,$E$8:$N$8,$E$9:$N$9)*$E$10,""),$E$4*SUMPRODUCT($E$7:$N$7,$E$8:$N$8,$E$9:$N$9)*$E$10)</f>
        <v/>
      </c>
      <c r="Y69" s="29" t="str" cm="1">
        <f t="array" ref="Y69">IF($E$3="纯租赁",IF(Y68*12&lt;=$E$12,$E$4*SUMPRODUCT($E$7:$N$7,$E$8:$N$8,$E$9:$N$9)*$E$10,""),$E$4*SUMPRODUCT($E$7:$N$7,$E$8:$N$8,$E$9:$N$9)*$E$10)</f>
        <v/>
      </c>
      <c r="Z69" s="29" t="str" cm="1">
        <f t="array" ref="Z69">IF($E$3="纯租赁",IF(Z68*12&lt;=$E$12,$E$4*SUMPRODUCT($E$7:$N$7,$E$8:$N$8,$E$9:$N$9)*$E$10,""),$E$4*SUMPRODUCT($E$7:$N$7,$E$8:$N$8,$E$9:$N$9)*$E$10)</f>
        <v/>
      </c>
      <c r="AA69" s="29" t="str" cm="1">
        <f t="array" ref="AA69">IF($E$3="纯租赁",IF(AA68*12&lt;=$E$12,$E$4*SUMPRODUCT($E$7:$N$7,$E$8:$N$8,$E$9:$N$9)*$E$10,""),$E$4*SUMPRODUCT($E$7:$N$7,$E$8:$N$8,$E$9:$N$9)*$E$10)</f>
        <v/>
      </c>
      <c r="AB69" s="29" t="str" cm="1">
        <f t="array" ref="AB69">IF($E$3="纯租赁",IF(AB68*12&lt;=$E$12,$E$4*SUMPRODUCT($E$7:$N$7,$E$8:$N$8,$E$9:$N$9)*$E$10,""),$E$4*SUMPRODUCT($E$7:$N$7,$E$8:$N$8,$E$9:$N$9)*$E$10)</f>
        <v/>
      </c>
      <c r="AC69" s="29" t="str" cm="1">
        <f t="array" ref="AC69">IF($E$3="纯租赁",IF(AC68*12&lt;=$E$12,$E$4*SUMPRODUCT($E$7:$N$7,$E$8:$N$8,$E$9:$N$9)*$E$10,""),$E$4*SUMPRODUCT($E$7:$N$7,$E$8:$N$8,$E$9:$N$9)*$E$10)</f>
        <v/>
      </c>
      <c r="AD69" s="29" t="str" cm="1">
        <f t="array" ref="AD69">IF($E$3="纯租赁",IF(AD68*12&lt;=$E$12,$E$4*SUMPRODUCT($E$7:$N$7,$E$8:$N$8,$E$9:$N$9)*$E$10,""),$E$4*SUMPRODUCT($E$7:$N$7,$E$8:$N$8,$E$9:$N$9)*$E$10)</f>
        <v/>
      </c>
    </row>
    <row r="70" ht="16.5" spans="17:35">
      <c r="Q70" s="44" t="s">
        <v>75</v>
      </c>
      <c r="R70" s="44"/>
      <c r="S70" s="76">
        <f t="shared" ref="S70:AD70" si="80">S69</f>
        <v>1722600</v>
      </c>
      <c r="T70" s="76">
        <f t="shared" si="80"/>
        <v>1722600</v>
      </c>
      <c r="U70" s="76" t="str">
        <f t="shared" si="80"/>
        <v/>
      </c>
      <c r="V70" s="76" t="str">
        <f t="shared" si="80"/>
        <v/>
      </c>
      <c r="W70" s="76" t="str">
        <f t="shared" si="80"/>
        <v/>
      </c>
      <c r="X70" s="76" t="str">
        <f t="shared" si="80"/>
        <v/>
      </c>
      <c r="Y70" s="76" t="str">
        <f t="shared" si="80"/>
        <v/>
      </c>
      <c r="Z70" s="76" t="str">
        <f t="shared" si="80"/>
        <v/>
      </c>
      <c r="AA70" s="76" t="str">
        <f t="shared" si="80"/>
        <v/>
      </c>
      <c r="AB70" s="76" t="str">
        <f t="shared" si="80"/>
        <v/>
      </c>
      <c r="AC70" s="76" t="str">
        <f t="shared" si="80"/>
        <v/>
      </c>
      <c r="AD70" s="76" t="str">
        <f t="shared" si="80"/>
        <v/>
      </c>
    </row>
    <row r="71" spans="17:35">
      <c r="Q71" s="28" t="s">
        <v>14</v>
      </c>
      <c r="R71" s="35" t="s">
        <v>79</v>
      </c>
      <c r="S71" s="29">
        <f>_xlfn.LET(_xlpm.a,$E$4*$E$13,_xlpm.b,$E$4*($E$11/MAX(36,S68*12)+$E$13),IF($E$3="纯租赁",IF(S68*12&lt;=$E$12,_xlpm.a*12,""),_xlpm.b*12))</f>
        <v>333600</v>
      </c>
      <c r="T71" s="29">
        <f>_xlfn.LET(_xlpm.a,$E$4*$E$13,_xlpm.b,$E$4*($E$11/MAX(36,T68*12)+$E$13),IF($E$3="纯租赁",IF(T68*12&lt;=$E$12,_xlpm.a*12,""),_xlpm.b*12))</f>
        <v>333600</v>
      </c>
      <c r="U71" s="29" t="str">
        <f>_xlfn.LET(_xlpm.a,$E$4*$E$13,_xlpm.b,$E$4*($E$11/MAX(36,U68*12)+$E$13),IF($E$3="纯租赁",IF(U68*12&lt;=$E$12,_xlpm.a*12,""),_xlpm.b*12))</f>
        <v/>
      </c>
      <c r="V71" s="29" t="str">
        <f>_xlfn.LET(_xlpm.a,$E$4*$E$13,_xlpm.b,$E$4*($E$11/MAX(36,V68*12)+$E$13),IF($E$3="纯租赁",IF(V68*12&lt;=$E$12,_xlpm.a*12,""),_xlpm.b*12))</f>
        <v/>
      </c>
      <c r="W71" s="29" t="str">
        <f>_xlfn.LET(_xlpm.a,$E$4*$E$13,_xlpm.b,$E$4*($E$11/MAX(36,W68*12)+$E$13),IF($E$3="纯租赁",IF(W68*12&lt;=$E$12,_xlpm.a*12,""),_xlpm.b*12))</f>
        <v/>
      </c>
      <c r="X71" s="29" t="str">
        <f>_xlfn.LET(_xlpm.a,$E$4*$E$13,_xlpm.b,$E$4*($E$11/MAX(36,X68*12)+$E$13),IF($E$3="纯租赁",IF(X68*12&lt;=$E$12,_xlpm.a*12,""),_xlpm.b*12))</f>
        <v/>
      </c>
      <c r="Y71" s="29" t="str">
        <f>_xlfn.LET(_xlpm.a,$E$4*$E$13,_xlpm.b,$E$4*($E$11/MAX(36,Y68*12)+$E$13),IF($E$3="纯租赁",IF(Y68*12&lt;=$E$12,_xlpm.a*12,""),_xlpm.b*12))</f>
        <v/>
      </c>
      <c r="Z71" s="29" t="str">
        <f>_xlfn.LET(_xlpm.a,$E$4*$E$13,_xlpm.b,$E$4*($E$11/MAX(36,Z68*12)+$E$13),IF($E$3="纯租赁",IF(Z68*12&lt;=$E$12,_xlpm.a*12,""),_xlpm.b*12))</f>
        <v/>
      </c>
      <c r="AA71" s="29" t="str">
        <f>_xlfn.LET(_xlpm.a,$E$4*$E$13,_xlpm.b,$E$4*($E$11/MAX(36,AA68*12)+$E$13),IF($E$3="纯租赁",IF(AA68*12&lt;=$E$12,_xlpm.a*12,""),_xlpm.b*12))</f>
        <v/>
      </c>
      <c r="AB71" s="29" t="str">
        <f>_xlfn.LET(_xlpm.a,$E$4*$E$13,_xlpm.b,$E$4*($E$11/MAX(36,AB68*12)+$E$13),IF($E$3="纯租赁",IF(AB68*12&lt;=$E$12,_xlpm.a*12,""),_xlpm.b*12))</f>
        <v/>
      </c>
      <c r="AC71" s="29" t="str">
        <f>_xlfn.LET(_xlpm.a,$E$4*$E$13,_xlpm.b,$E$4*($E$11/MAX(36,AC68*12)+$E$13),IF($E$3="纯租赁",IF(AC68*12&lt;=$E$12,_xlpm.a*12,""),_xlpm.b*12))</f>
        <v/>
      </c>
      <c r="AD71" s="29" t="str">
        <f>_xlfn.LET(_xlpm.a,$E$4*$E$13,_xlpm.b,$E$4*($E$11/MAX(36,AD68*12)+$E$13),IF($E$3="纯租赁",IF(AD68*12&lt;=$E$12,_xlpm.a*12,""),_xlpm.b*12))</f>
        <v/>
      </c>
    </row>
    <row r="72" spans="17:35">
      <c r="Q72" s="28"/>
      <c r="R72" s="35" t="s">
        <v>61</v>
      </c>
      <c r="S72" s="29">
        <f t="shared" ref="S72:AD72" si="81">IF($E$3="纯租赁",IF(S68*12&lt;=$E$12,$E$14*$E$4*12,""),$E$14*$E$4*12)</f>
        <v>48000</v>
      </c>
      <c r="T72" s="29">
        <f t="shared" si="81"/>
        <v>48000</v>
      </c>
      <c r="U72" s="29" t="str">
        <f t="shared" si="81"/>
        <v/>
      </c>
      <c r="V72" s="29" t="str">
        <f t="shared" si="81"/>
        <v/>
      </c>
      <c r="W72" s="29" t="str">
        <f t="shared" si="81"/>
        <v/>
      </c>
      <c r="X72" s="29" t="str">
        <f t="shared" si="81"/>
        <v/>
      </c>
      <c r="Y72" s="29" t="str">
        <f t="shared" si="81"/>
        <v/>
      </c>
      <c r="Z72" s="29" t="str">
        <f t="shared" si="81"/>
        <v/>
      </c>
      <c r="AA72" s="29" t="str">
        <f t="shared" si="81"/>
        <v/>
      </c>
      <c r="AB72" s="29" t="str">
        <f t="shared" si="81"/>
        <v/>
      </c>
      <c r="AC72" s="29" t="str">
        <f t="shared" si="81"/>
        <v/>
      </c>
      <c r="AD72" s="29" t="str">
        <f t="shared" si="81"/>
        <v/>
      </c>
    </row>
    <row r="73" spans="17:35">
      <c r="Q73" s="28"/>
      <c r="R73" s="35" t="s">
        <v>64</v>
      </c>
      <c r="S73" s="29">
        <f t="shared" ref="S73:AD73" si="82">IF($E$3="纯租赁",IF(S68*12&lt;=$E$12,$E$4*$E$15*12,""),$E$4*$E$15*12)</f>
        <v>0</v>
      </c>
      <c r="T73" s="29">
        <f t="shared" si="82"/>
        <v>0</v>
      </c>
      <c r="U73" s="29" t="str">
        <f t="shared" si="82"/>
        <v/>
      </c>
      <c r="V73" s="29" t="str">
        <f t="shared" si="82"/>
        <v/>
      </c>
      <c r="W73" s="29" t="str">
        <f t="shared" si="82"/>
        <v/>
      </c>
      <c r="X73" s="29" t="str">
        <f t="shared" si="82"/>
        <v/>
      </c>
      <c r="Y73" s="29" t="str">
        <f t="shared" si="82"/>
        <v/>
      </c>
      <c r="Z73" s="29" t="str">
        <f t="shared" si="82"/>
        <v/>
      </c>
      <c r="AA73" s="29" t="str">
        <f t="shared" si="82"/>
        <v/>
      </c>
      <c r="AB73" s="29" t="str">
        <f t="shared" si="82"/>
        <v/>
      </c>
      <c r="AC73" s="29" t="str">
        <f t="shared" si="82"/>
        <v/>
      </c>
      <c r="AD73" s="29" t="str">
        <f t="shared" si="82"/>
        <v/>
      </c>
    </row>
    <row r="74" spans="17:35">
      <c r="Q74" s="28"/>
      <c r="R74" s="35" t="s">
        <v>68</v>
      </c>
      <c r="S74" s="29">
        <f t="shared" ref="S74:AD74" si="83">IF($E$3="纯租赁",IF(S68*12&lt;=$E$12,$E$4*$E$16*12,""),$E$4*$E$16*12)</f>
        <v>110000</v>
      </c>
      <c r="T74" s="29">
        <f t="shared" si="83"/>
        <v>110000</v>
      </c>
      <c r="U74" s="29" t="str">
        <f t="shared" si="83"/>
        <v/>
      </c>
      <c r="V74" s="29" t="str">
        <f t="shared" si="83"/>
        <v/>
      </c>
      <c r="W74" s="29" t="str">
        <f t="shared" si="83"/>
        <v/>
      </c>
      <c r="X74" s="29" t="str">
        <f t="shared" si="83"/>
        <v/>
      </c>
      <c r="Y74" s="29" t="str">
        <f t="shared" si="83"/>
        <v/>
      </c>
      <c r="Z74" s="29" t="str">
        <f t="shared" si="83"/>
        <v/>
      </c>
      <c r="AA74" s="29" t="str">
        <f t="shared" si="83"/>
        <v/>
      </c>
      <c r="AB74" s="29" t="str">
        <f t="shared" si="83"/>
        <v/>
      </c>
      <c r="AC74" s="29" t="str">
        <f t="shared" si="83"/>
        <v/>
      </c>
      <c r="AD74" s="29" t="str">
        <f t="shared" si="83"/>
        <v/>
      </c>
    </row>
    <row r="75" spans="17:35">
      <c r="Q75" s="28"/>
      <c r="R75" s="35" t="s">
        <v>71</v>
      </c>
      <c r="S75" s="29">
        <f t="shared" ref="S75:AD75" si="84">IF($E$3="纯租赁",IF(S68*12&lt;=$E$12,$E$4*$E$17*12,""),$E$4*$E$17*12)</f>
        <v>8000</v>
      </c>
      <c r="T75" s="29">
        <f t="shared" si="84"/>
        <v>8000</v>
      </c>
      <c r="U75" s="29" t="str">
        <f t="shared" si="84"/>
        <v/>
      </c>
      <c r="V75" s="29" t="str">
        <f t="shared" si="84"/>
        <v/>
      </c>
      <c r="W75" s="29" t="str">
        <f t="shared" si="84"/>
        <v/>
      </c>
      <c r="X75" s="29" t="str">
        <f t="shared" si="84"/>
        <v/>
      </c>
      <c r="Y75" s="29" t="str">
        <f t="shared" si="84"/>
        <v/>
      </c>
      <c r="Z75" s="29" t="str">
        <f t="shared" si="84"/>
        <v/>
      </c>
      <c r="AA75" s="29" t="str">
        <f t="shared" si="84"/>
        <v/>
      </c>
      <c r="AB75" s="29" t="str">
        <f t="shared" si="84"/>
        <v/>
      </c>
      <c r="AC75" s="29" t="str">
        <f t="shared" si="84"/>
        <v/>
      </c>
      <c r="AD75" s="29" t="str">
        <f t="shared" si="84"/>
        <v/>
      </c>
    </row>
    <row r="76" spans="17:35">
      <c r="Q76" s="28"/>
      <c r="R76" s="35" t="s">
        <v>74</v>
      </c>
      <c r="S76" s="29">
        <f t="shared" ref="S76:AD76" si="85">IF($E$3="纯租赁",IF(S68*12&lt;=$E$12,$E$4*$E$18*12,""),$E$4*$E$18*12)</f>
        <v>60000</v>
      </c>
      <c r="T76" s="29">
        <f t="shared" si="85"/>
        <v>60000</v>
      </c>
      <c r="U76" s="29" t="str">
        <f t="shared" si="85"/>
        <v/>
      </c>
      <c r="V76" s="29" t="str">
        <f t="shared" si="85"/>
        <v/>
      </c>
      <c r="W76" s="29" t="str">
        <f t="shared" si="85"/>
        <v/>
      </c>
      <c r="X76" s="29" t="str">
        <f t="shared" si="85"/>
        <v/>
      </c>
      <c r="Y76" s="29" t="str">
        <f t="shared" si="85"/>
        <v/>
      </c>
      <c r="Z76" s="29" t="str">
        <f t="shared" si="85"/>
        <v/>
      </c>
      <c r="AA76" s="29" t="str">
        <f t="shared" si="85"/>
        <v/>
      </c>
      <c r="AB76" s="29" t="str">
        <f t="shared" si="85"/>
        <v/>
      </c>
      <c r="AC76" s="29" t="str">
        <f t="shared" si="85"/>
        <v/>
      </c>
      <c r="AD76" s="29" t="str">
        <f t="shared" si="85"/>
        <v/>
      </c>
    </row>
    <row r="77" spans="17:35">
      <c r="Q77" s="28"/>
      <c r="R77" s="35" t="s">
        <v>78</v>
      </c>
      <c r="S77" s="29">
        <f t="shared" ref="S77:AD77" si="86">IF($E$3="纯租赁",IF(S68*12&lt;=$E$12,$E$4*$E$19*12,""),$E$4*$E$19*12)</f>
        <v>0</v>
      </c>
      <c r="T77" s="29">
        <f t="shared" si="86"/>
        <v>0</v>
      </c>
      <c r="U77" s="29" t="str">
        <f t="shared" si="86"/>
        <v/>
      </c>
      <c r="V77" s="29" t="str">
        <f t="shared" si="86"/>
        <v/>
      </c>
      <c r="W77" s="29" t="str">
        <f t="shared" si="86"/>
        <v/>
      </c>
      <c r="X77" s="29" t="str">
        <f t="shared" si="86"/>
        <v/>
      </c>
      <c r="Y77" s="29" t="str">
        <f t="shared" si="86"/>
        <v/>
      </c>
      <c r="Z77" s="29" t="str">
        <f t="shared" si="86"/>
        <v/>
      </c>
      <c r="AA77" s="29" t="str">
        <f t="shared" si="86"/>
        <v/>
      </c>
      <c r="AB77" s="29" t="str">
        <f t="shared" si="86"/>
        <v/>
      </c>
      <c r="AC77" s="29" t="str">
        <f t="shared" si="86"/>
        <v/>
      </c>
      <c r="AD77" s="29" t="str">
        <f t="shared" si="86"/>
        <v/>
      </c>
    </row>
    <row r="78" spans="17:35">
      <c r="Q78" s="28"/>
      <c r="R78" s="35" t="s">
        <v>82</v>
      </c>
      <c r="S78" s="29">
        <f t="shared" ref="S78:AD78" si="87">IF($E$3="纯租赁",IF(S68*12&lt;=$E$12,$E$4*$E$20*12,""),$E$4*$E$20*12)</f>
        <v>8000</v>
      </c>
      <c r="T78" s="29">
        <f t="shared" si="87"/>
        <v>8000</v>
      </c>
      <c r="U78" s="29" t="str">
        <f t="shared" si="87"/>
        <v/>
      </c>
      <c r="V78" s="29" t="str">
        <f t="shared" si="87"/>
        <v/>
      </c>
      <c r="W78" s="29" t="str">
        <f t="shared" si="87"/>
        <v/>
      </c>
      <c r="X78" s="29" t="str">
        <f t="shared" si="87"/>
        <v/>
      </c>
      <c r="Y78" s="29" t="str">
        <f t="shared" si="87"/>
        <v/>
      </c>
      <c r="Z78" s="29" t="str">
        <f t="shared" si="87"/>
        <v/>
      </c>
      <c r="AA78" s="29" t="str">
        <f t="shared" si="87"/>
        <v/>
      </c>
      <c r="AB78" s="29" t="str">
        <f t="shared" si="87"/>
        <v/>
      </c>
      <c r="AC78" s="29" t="str">
        <f t="shared" si="87"/>
        <v/>
      </c>
      <c r="AD78" s="29" t="str">
        <f t="shared" si="87"/>
        <v/>
      </c>
    </row>
    <row r="79" spans="17:35">
      <c r="Q79" s="28"/>
      <c r="R79" s="23" t="s">
        <v>85</v>
      </c>
      <c r="S79" s="24">
        <f t="shared" ref="S79:AD79" si="88">IF($E$3="纯租赁",IF(S68*12&lt;=$E$12,$E$4*$E$21*12,""),$E$4*$E$21*12)</f>
        <v>4800</v>
      </c>
      <c r="T79" s="24">
        <f t="shared" si="88"/>
        <v>4800</v>
      </c>
      <c r="U79" s="24" t="str">
        <f t="shared" si="88"/>
        <v/>
      </c>
      <c r="V79" s="24" t="str">
        <f t="shared" si="88"/>
        <v/>
      </c>
      <c r="W79" s="24" t="str">
        <f t="shared" si="88"/>
        <v/>
      </c>
      <c r="X79" s="24" t="str">
        <f t="shared" si="88"/>
        <v/>
      </c>
      <c r="Y79" s="24" t="str">
        <f t="shared" si="88"/>
        <v/>
      </c>
      <c r="Z79" s="24" t="str">
        <f t="shared" si="88"/>
        <v/>
      </c>
      <c r="AA79" s="24" t="str">
        <f t="shared" si="88"/>
        <v/>
      </c>
      <c r="AB79" s="24" t="str">
        <f t="shared" si="88"/>
        <v/>
      </c>
      <c r="AC79" s="24" t="str">
        <f t="shared" si="88"/>
        <v/>
      </c>
      <c r="AD79" s="24" t="str">
        <f t="shared" si="88"/>
        <v/>
      </c>
    </row>
    <row r="80" spans="17:35">
      <c r="Q80" s="53" t="s">
        <v>15</v>
      </c>
      <c r="R80" s="35" t="s">
        <v>88</v>
      </c>
      <c r="S80" s="29" cm="1">
        <f t="array" ref="S80">IF($E$3="纯租赁",IF(S68*12&lt;=$E$12,$E$4*SUMPRODUCT($E$9:$N$9,$E$22:$N$22)*$E$10,""),$E$4*SUMPRODUCT($E$9:$N$9,$E$22:$N$22)*$E$10)</f>
        <v>270000</v>
      </c>
      <c r="T80" s="29" cm="1">
        <f t="array" ref="T80">IF($E$3="纯租赁",IF(T68*12&lt;=$E$12,$E$4*SUMPRODUCT($E$9:$N$9,$E$22:$N$22)*$E$10,""),$E$4*SUMPRODUCT($E$9:$N$9,$E$22:$N$22)*$E$10)</f>
        <v>270000</v>
      </c>
      <c r="U80" s="29" t="str" cm="1">
        <f t="array" ref="U80">IF($E$3="纯租赁",IF(U68*12&lt;=$E$12,$E$4*SUMPRODUCT($E$9:$N$9,$E$22:$N$22)*$E$10,""),$E$4*SUMPRODUCT($E$9:$N$9,$E$22:$N$22)*$E$10)</f>
        <v/>
      </c>
      <c r="V80" s="29" t="str" cm="1">
        <f t="array" ref="V80">IF($E$3="纯租赁",IF(V68*12&lt;=$E$12,$E$4*SUMPRODUCT($E$9:$N$9,$E$22:$N$22)*$E$10,""),$E$4*SUMPRODUCT($E$9:$N$9,$E$22:$N$22)*$E$10)</f>
        <v/>
      </c>
      <c r="W80" s="29" t="str" cm="1">
        <f t="array" ref="W80">IF($E$3="纯租赁",IF(W68*12&lt;=$E$12,$E$4*SUMPRODUCT($E$9:$N$9,$E$22:$N$22)*$E$10,""),$E$4*SUMPRODUCT($E$9:$N$9,$E$22:$N$22)*$E$10)</f>
        <v/>
      </c>
      <c r="X80" s="29" t="str" cm="1">
        <f t="array" ref="X80">IF($E$3="纯租赁",IF(X68*12&lt;=$E$12,$E$4*SUMPRODUCT($E$9:$N$9,$E$22:$N$22)*$E$10,""),$E$4*SUMPRODUCT($E$9:$N$9,$E$22:$N$22)*$E$10)</f>
        <v/>
      </c>
      <c r="Y80" s="29" t="str" cm="1">
        <f t="array" ref="Y80">IF($E$3="纯租赁",IF(Y68*12&lt;=$E$12,$E$4*SUMPRODUCT($E$9:$N$9,$E$22:$N$22)*$E$10,""),$E$4*SUMPRODUCT($E$9:$N$9,$E$22:$N$22)*$E$10)</f>
        <v/>
      </c>
      <c r="Z80" s="29" t="str" cm="1">
        <f t="array" ref="Z80">IF($E$3="纯租赁",IF(Z68*12&lt;=$E$12,$E$4*SUMPRODUCT($E$9:$N$9,$E$22:$N$22)*$E$10,""),$E$4*SUMPRODUCT($E$9:$N$9,$E$22:$N$22)*$E$10)</f>
        <v/>
      </c>
      <c r="AA80" s="29" t="str" cm="1">
        <f t="array" ref="AA80">IF($E$3="纯租赁",IF(AA68*12&lt;=$E$12,$E$4*SUMPRODUCT($E$9:$N$9,$E$22:$N$22)*$E$10,""),$E$4*SUMPRODUCT($E$9:$N$9,$E$22:$N$22)*$E$10)</f>
        <v/>
      </c>
      <c r="AB80" s="29" t="str" cm="1">
        <f t="array" ref="AB80">IF($E$3="纯租赁",IF(AB68*12&lt;=$E$12,$E$4*SUMPRODUCT($E$9:$N$9,$E$22:$N$22)*$E$10,""),$E$4*SUMPRODUCT($E$9:$N$9,$E$22:$N$22)*$E$10)</f>
        <v/>
      </c>
      <c r="AC80" s="29" t="str" cm="1">
        <f t="array" ref="AC80">IF($E$3="纯租赁",IF(AC68*12&lt;=$E$12,$E$4*SUMPRODUCT($E$9:$N$9,$E$22:$N$22)*$E$10,""),$E$4*SUMPRODUCT($E$9:$N$9,$E$22:$N$22)*$E$10)</f>
        <v/>
      </c>
      <c r="AD80" s="29" t="str" cm="1">
        <f t="array" ref="AD80">IF($E$3="纯租赁",IF(AD68*12&lt;=$E$12,$E$4*SUMPRODUCT($E$9:$N$9,$E$22:$N$22)*$E$10,""),$E$4*SUMPRODUCT($E$9:$N$9,$E$22:$N$22)*$E$10)</f>
        <v/>
      </c>
    </row>
    <row r="81" spans="17:30">
      <c r="Q81" s="28"/>
      <c r="R81" s="35" t="s">
        <v>91</v>
      </c>
      <c r="S81" s="29" cm="1">
        <f t="array" ref="S81">IF($E$3="纯租赁",IF(S68*12&lt;=$E$12,$E$4*SUMPRODUCT($E$9:$N$9,$E$23:$N$23)*$E$10,""),$E$4*SUMPRODUCT($E$9:$N$9,$E$23:$N$23)*$E$10)</f>
        <v>210600</v>
      </c>
      <c r="T81" s="29" cm="1">
        <f t="array" ref="T81">IF($E$3="纯租赁",IF(T68*12&lt;=$E$12,$E$4*SUMPRODUCT($E$9:$N$9,$E$23:$N$23)*$E$10,""),$E$4*SUMPRODUCT($E$9:$N$9,$E$23:$N$23)*$E$10)</f>
        <v>210600</v>
      </c>
      <c r="U81" s="29" t="str" cm="1">
        <f t="array" ref="U81">IF($E$3="纯租赁",IF(U68*12&lt;=$E$12,$E$4*SUMPRODUCT($E$9:$N$9,$E$23:$N$23)*$E$10,""),$E$4*SUMPRODUCT($E$9:$N$9,$E$23:$N$23)*$E$10)</f>
        <v/>
      </c>
      <c r="V81" s="29" t="str" cm="1">
        <f t="array" ref="V81">IF($E$3="纯租赁",IF(V68*12&lt;=$E$12,$E$4*SUMPRODUCT($E$9:$N$9,$E$23:$N$23)*$E$10,""),$E$4*SUMPRODUCT($E$9:$N$9,$E$23:$N$23)*$E$10)</f>
        <v/>
      </c>
      <c r="W81" s="29" t="str" cm="1">
        <f t="array" ref="W81">IF($E$3="纯租赁",IF(W68*12&lt;=$E$12,$E$4*SUMPRODUCT($E$9:$N$9,$E$23:$N$23)*$E$10,""),$E$4*SUMPRODUCT($E$9:$N$9,$E$23:$N$23)*$E$10)</f>
        <v/>
      </c>
      <c r="X81" s="29" t="str" cm="1">
        <f t="array" ref="X81">IF($E$3="纯租赁",IF(X68*12&lt;=$E$12,$E$4*SUMPRODUCT($E$9:$N$9,$E$23:$N$23)*$E$10,""),$E$4*SUMPRODUCT($E$9:$N$9,$E$23:$N$23)*$E$10)</f>
        <v/>
      </c>
      <c r="Y81" s="29" t="str" cm="1">
        <f t="array" ref="Y81">IF($E$3="纯租赁",IF(Y68*12&lt;=$E$12,$E$4*SUMPRODUCT($E$9:$N$9,$E$23:$N$23)*$E$10,""),$E$4*SUMPRODUCT($E$9:$N$9,$E$23:$N$23)*$E$10)</f>
        <v/>
      </c>
      <c r="Z81" s="29" t="str" cm="1">
        <f t="array" ref="Z81">IF($E$3="纯租赁",IF(Z68*12&lt;=$E$12,$E$4*SUMPRODUCT($E$9:$N$9,$E$23:$N$23)*$E$10,""),$E$4*SUMPRODUCT($E$9:$N$9,$E$23:$N$23)*$E$10)</f>
        <v/>
      </c>
      <c r="AA81" s="29" t="str" cm="1">
        <f t="array" ref="AA81">IF($E$3="纯租赁",IF(AA68*12&lt;=$E$12,$E$4*SUMPRODUCT($E$9:$N$9,$E$23:$N$23)*$E$10,""),$E$4*SUMPRODUCT($E$9:$N$9,$E$23:$N$23)*$E$10)</f>
        <v/>
      </c>
      <c r="AB81" s="29" t="str" cm="1">
        <f t="array" ref="AB81">IF($E$3="纯租赁",IF(AB68*12&lt;=$E$12,$E$4*SUMPRODUCT($E$9:$N$9,$E$23:$N$23)*$E$10,""),$E$4*SUMPRODUCT($E$9:$N$9,$E$23:$N$23)*$E$10)</f>
        <v/>
      </c>
      <c r="AC81" s="29" t="str" cm="1">
        <f t="array" ref="AC81">IF($E$3="纯租赁",IF(AC68*12&lt;=$E$12,$E$4*SUMPRODUCT($E$9:$N$9,$E$23:$N$23)*$E$10,""),$E$4*SUMPRODUCT($E$9:$N$9,$E$23:$N$23)*$E$10)</f>
        <v/>
      </c>
      <c r="AD81" s="29" t="str" cm="1">
        <f t="array" ref="AD81">IF($E$3="纯租赁",IF(AD68*12&lt;=$E$12,$E$4*SUMPRODUCT($E$9:$N$9,$E$23:$N$23)*$E$10,""),$E$4*SUMPRODUCT($E$9:$N$9,$E$23:$N$23)*$E$10)</f>
        <v/>
      </c>
    </row>
    <row r="82" spans="17:30">
      <c r="Q82" s="28"/>
      <c r="R82" s="35" t="s">
        <v>94</v>
      </c>
      <c r="S82" s="29" cm="1">
        <f t="array" ref="S82">IF($E$3="纯租赁",IF(S68*12&lt;=$E$12,$E$4*$E$10*SUMPRODUCT($E$9:$N$9,$E$24:$N$24),""),$E$4*$E$10*SUMPRODUCT($E$9:$N$9,$E$24:$N$24))</f>
        <v>0</v>
      </c>
      <c r="T82" s="29" cm="1">
        <f t="array" ref="T82">IF($E$3="纯租赁",IF(T68*12&lt;=$E$12,$E$4*$E$10*SUMPRODUCT($E$9:$N$9,$E$24:$N$24),""),$E$4*$E$10*SUMPRODUCT($E$9:$N$9,$E$24:$N$24))</f>
        <v>0</v>
      </c>
      <c r="U82" s="29" t="str" cm="1">
        <f t="array" ref="U82">IF($E$3="纯租赁",IF(U68*12&lt;=$E$12,$E$4*$E$10*SUMPRODUCT($E$9:$N$9,$E$24:$N$24),""),$E$4*$E$10*SUMPRODUCT($E$9:$N$9,$E$24:$N$24))</f>
        <v/>
      </c>
      <c r="V82" s="29" t="str" cm="1">
        <f t="array" ref="V82">IF($E$3="纯租赁",IF(V68*12&lt;=$E$12,$E$4*$E$10*SUMPRODUCT($E$9:$N$9,$E$24:$N$24),""),$E$4*$E$10*SUMPRODUCT($E$9:$N$9,$E$24:$N$24))</f>
        <v/>
      </c>
      <c r="W82" s="29" t="str" cm="1">
        <f t="array" ref="W82">IF($E$3="纯租赁",IF(W68*12&lt;=$E$12,$E$4*$E$10*SUMPRODUCT($E$9:$N$9,$E$24:$N$24),""),$E$4*$E$10*SUMPRODUCT($E$9:$N$9,$E$24:$N$24))</f>
        <v/>
      </c>
      <c r="X82" s="29" t="str" cm="1">
        <f t="array" ref="X82">IF($E$3="纯租赁",IF(X68*12&lt;=$E$12,$E$4*$E$10*SUMPRODUCT($E$9:$N$9,$E$24:$N$24),""),$E$4*$E$10*SUMPRODUCT($E$9:$N$9,$E$24:$N$24))</f>
        <v/>
      </c>
      <c r="Y82" s="29" t="str" cm="1">
        <f t="array" ref="Y82">IF($E$3="纯租赁",IF(Y68*12&lt;=$E$12,$E$4*$E$10*SUMPRODUCT($E$9:$N$9,$E$24:$N$24),""),$E$4*$E$10*SUMPRODUCT($E$9:$N$9,$E$24:$N$24))</f>
        <v/>
      </c>
      <c r="Z82" s="29" t="str" cm="1">
        <f t="array" ref="Z82">IF($E$3="纯租赁",IF(Z68*12&lt;=$E$12,$E$4*$E$10*SUMPRODUCT($E$9:$N$9,$E$24:$N$24),""),$E$4*$E$10*SUMPRODUCT($E$9:$N$9,$E$24:$N$24))</f>
        <v/>
      </c>
      <c r="AA82" s="29" t="str" cm="1">
        <f t="array" ref="AA82">IF($E$3="纯租赁",IF(AA68*12&lt;=$E$12,$E$4*$E$10*SUMPRODUCT($E$9:$N$9,$E$24:$N$24),""),$E$4*$E$10*SUMPRODUCT($E$9:$N$9,$E$24:$N$24))</f>
        <v/>
      </c>
      <c r="AB82" s="29" t="str" cm="1">
        <f t="array" ref="AB82">IF($E$3="纯租赁",IF(AB68*12&lt;=$E$12,$E$4*$E$10*SUMPRODUCT($E$9:$N$9,$E$24:$N$24),""),$E$4*$E$10*SUMPRODUCT($E$9:$N$9,$E$24:$N$24))</f>
        <v/>
      </c>
      <c r="AC82" s="29" t="str" cm="1">
        <f t="array" ref="AC82">IF($E$3="纯租赁",IF(AC68*12&lt;=$E$12,$E$4*$E$10*SUMPRODUCT($E$9:$N$9,$E$24:$N$24),""),$E$4*$E$10*SUMPRODUCT($E$9:$N$9,$E$24:$N$24))</f>
        <v/>
      </c>
      <c r="AD82" s="29" t="str" cm="1">
        <f t="array" ref="AD82">IF($E$3="纯租赁",IF(AD68*12&lt;=$E$12,$E$4*$E$10*SUMPRODUCT($E$9:$N$9,$E$24:$N$24),""),$E$4*$E$10*SUMPRODUCT($E$9:$N$9,$E$24:$N$24))</f>
        <v/>
      </c>
    </row>
    <row r="83" spans="17:30">
      <c r="Q83" s="28"/>
      <c r="R83" s="35" t="s">
        <v>97</v>
      </c>
      <c r="S83" s="29" cm="1">
        <f t="array" ref="S83">IF($E$3="纯租赁",IF(S68*12&lt;=$E$12,$E$4*$E$10*SUMPRODUCT($E$25:$N$25,$E$9:$N$9),""),$E$4*$E$10*SUMPRODUCT($E$25:$N$25,$E$9:$N$9))</f>
        <v>72000</v>
      </c>
      <c r="T83" s="29" cm="1">
        <f t="array" ref="T83">IF($E$3="纯租赁",IF(T68*12&lt;=$E$12,$E$4*$E$10*SUMPRODUCT($E$25:$N$25,$E$9:$N$9),""),$E$4*$E$10*SUMPRODUCT($E$25:$N$25,$E$9:$N$9))</f>
        <v>72000</v>
      </c>
      <c r="U83" s="29" t="str" cm="1">
        <f t="array" ref="U83">IF($E$3="纯租赁",IF(U68*12&lt;=$E$12,$E$4*$E$10*SUMPRODUCT($E$25:$N$25,$E$9:$N$9),""),$E$4*$E$10*SUMPRODUCT($E$25:$N$25,$E$9:$N$9))</f>
        <v/>
      </c>
      <c r="V83" s="29" t="str" cm="1">
        <f t="array" ref="V83">IF($E$3="纯租赁",IF(V68*12&lt;=$E$12,$E$4*$E$10*SUMPRODUCT($E$25:$N$25,$E$9:$N$9),""),$E$4*$E$10*SUMPRODUCT($E$25:$N$25,$E$9:$N$9))</f>
        <v/>
      </c>
      <c r="W83" s="29" t="str" cm="1">
        <f t="array" ref="W83">IF($E$3="纯租赁",IF(W68*12&lt;=$E$12,$E$4*$E$10*SUMPRODUCT($E$25:$N$25,$E$9:$N$9),""),$E$4*$E$10*SUMPRODUCT($E$25:$N$25,$E$9:$N$9))</f>
        <v/>
      </c>
      <c r="X83" s="29" t="str" cm="1">
        <f t="array" ref="X83">IF($E$3="纯租赁",IF(X68*12&lt;=$E$12,$E$4*$E$10*SUMPRODUCT($E$25:$N$25,$E$9:$N$9),""),$E$4*$E$10*SUMPRODUCT($E$25:$N$25,$E$9:$N$9))</f>
        <v/>
      </c>
      <c r="Y83" s="29" t="str" cm="1">
        <f t="array" ref="Y83">IF($E$3="纯租赁",IF(Y68*12&lt;=$E$12,$E$4*$E$10*SUMPRODUCT($E$25:$N$25,$E$9:$N$9),""),$E$4*$E$10*SUMPRODUCT($E$25:$N$25,$E$9:$N$9))</f>
        <v/>
      </c>
      <c r="Z83" s="29" t="str" cm="1">
        <f t="array" ref="Z83">IF($E$3="纯租赁",IF(Z68*12&lt;=$E$12,$E$4*$E$10*SUMPRODUCT($E$25:$N$25,$E$9:$N$9),""),$E$4*$E$10*SUMPRODUCT($E$25:$N$25,$E$9:$N$9))</f>
        <v/>
      </c>
      <c r="AA83" s="29" t="str" cm="1">
        <f t="array" ref="AA83">IF($E$3="纯租赁",IF(AA68*12&lt;=$E$12,$E$4*$E$10*SUMPRODUCT($E$25:$N$25,$E$9:$N$9),""),$E$4*$E$10*SUMPRODUCT($E$25:$N$25,$E$9:$N$9))</f>
        <v/>
      </c>
      <c r="AB83" s="29" t="str" cm="1">
        <f t="array" ref="AB83">IF($E$3="纯租赁",IF(AB68*12&lt;=$E$12,$E$4*$E$10*SUMPRODUCT($E$25:$N$25,$E$9:$N$9),""),$E$4*$E$10*SUMPRODUCT($E$25:$N$25,$E$9:$N$9))</f>
        <v/>
      </c>
      <c r="AC83" s="29" t="str" cm="1">
        <f t="array" ref="AC83">IF($E$3="纯租赁",IF(AC68*12&lt;=$E$12,$E$4*$E$10*SUMPRODUCT($E$25:$N$25,$E$9:$N$9),""),$E$4*$E$10*SUMPRODUCT($E$25:$N$25,$E$9:$N$9))</f>
        <v/>
      </c>
      <c r="AD83" s="29" t="str" cm="1">
        <f t="array" ref="AD83">IF($E$3="纯租赁",IF(AD68*12&lt;=$E$12,$E$4*$E$10*SUMPRODUCT($E$25:$N$25,$E$9:$N$9),""),$E$4*$E$10*SUMPRODUCT($E$25:$N$25,$E$9:$N$9))</f>
        <v/>
      </c>
    </row>
    <row r="84" spans="17:30">
      <c r="Q84" s="28"/>
      <c r="R84" s="35" t="s">
        <v>100</v>
      </c>
      <c r="S84" s="29" cm="1">
        <f t="array" ref="S84">IF($E$3="纯租赁",IF(S68*12&lt;=$E$12,$E$4*$E$5*$E$10*SUMPRODUCT(IF($E$8:$N$8,$E$32,$E$33),$E$6:$N$6,$E$9:$N$9),""),$E$4*$E$5*$E$10*SUMPRODUCT(IF($E$8:$N$8,$E$32,$E$33),$E$6:$N$6,$E$9:$N$9))</f>
        <v>253912.32</v>
      </c>
      <c r="T84" s="29" cm="1">
        <f t="array" ref="T84">IF($E$3="纯租赁",IF(T68*12&lt;=$E$12,$E$4*$E$5*$E$10*SUMPRODUCT(IF($E$8:$N$8,$E$32,$E$33),$E$6:$N$6,$E$9:$N$9),""),$E$4*$E$5*$E$10*SUMPRODUCT(IF($E$8:$N$8,$E$32,$E$33),$E$6:$N$6,$E$9:$N$9))</f>
        <v>253912.32</v>
      </c>
      <c r="U84" s="29" t="str" cm="1">
        <f t="array" ref="U84">IF($E$3="纯租赁",IF(U68*12&lt;=$E$12,$E$4*$E$5*$E$10*SUMPRODUCT(IF($E$8:$N$8,$E$32,$E$33),$E$6:$N$6,$E$9:$N$9),""),$E$4*$E$5*$E$10*SUMPRODUCT(IF($E$8:$N$8,$E$32,$E$33),$E$6:$N$6,$E$9:$N$9))</f>
        <v/>
      </c>
      <c r="V84" s="29" t="str" cm="1">
        <f t="array" ref="V84">IF($E$3="纯租赁",IF(V68*12&lt;=$E$12,$E$4*$E$5*$E$10*SUMPRODUCT(IF($E$8:$N$8,$E$32,$E$33),$E$6:$N$6,$E$9:$N$9),""),$E$4*$E$5*$E$10*SUMPRODUCT(IF($E$8:$N$8,$E$32,$E$33),$E$6:$N$6,$E$9:$N$9))</f>
        <v/>
      </c>
      <c r="W84" s="29" t="str" cm="1">
        <f t="array" ref="W84">IF($E$3="纯租赁",IF(W68*12&lt;=$E$12,$E$4*$E$5*$E$10*SUMPRODUCT(IF($E$8:$N$8,$E$32,$E$33),$E$6:$N$6,$E$9:$N$9),""),$E$4*$E$5*$E$10*SUMPRODUCT(IF($E$8:$N$8,$E$32,$E$33),$E$6:$N$6,$E$9:$N$9))</f>
        <v/>
      </c>
      <c r="X84" s="29" t="str" cm="1">
        <f t="array" ref="X84">IF($E$3="纯租赁",IF(X68*12&lt;=$E$12,$E$4*$E$5*$E$10*SUMPRODUCT(IF($E$8:$N$8,$E$32,$E$33),$E$6:$N$6,$E$9:$N$9),""),$E$4*$E$5*$E$10*SUMPRODUCT(IF($E$8:$N$8,$E$32,$E$33),$E$6:$N$6,$E$9:$N$9))</f>
        <v/>
      </c>
      <c r="Y84" s="29" t="str" cm="1">
        <f t="array" ref="Y84">IF($E$3="纯租赁",IF(Y68*12&lt;=$E$12,$E$4*$E$5*$E$10*SUMPRODUCT(IF($E$8:$N$8,$E$32,$E$33),$E$6:$N$6,$E$9:$N$9),""),$E$4*$E$5*$E$10*SUMPRODUCT(IF($E$8:$N$8,$E$32,$E$33),$E$6:$N$6,$E$9:$N$9))</f>
        <v/>
      </c>
      <c r="Z84" s="29" t="str" cm="1">
        <f t="array" ref="Z84">IF($E$3="纯租赁",IF(Z68*12&lt;=$E$12,$E$4*$E$5*$E$10*SUMPRODUCT(IF($E$8:$N$8,$E$32,$E$33),$E$6:$N$6,$E$9:$N$9),""),$E$4*$E$5*$E$10*SUMPRODUCT(IF($E$8:$N$8,$E$32,$E$33),$E$6:$N$6,$E$9:$N$9))</f>
        <v/>
      </c>
      <c r="AA84" s="29" t="str" cm="1">
        <f t="array" ref="AA84">IF($E$3="纯租赁",IF(AA68*12&lt;=$E$12,$E$4*$E$5*$E$10*SUMPRODUCT(IF($E$8:$N$8,$E$32,$E$33),$E$6:$N$6,$E$9:$N$9),""),$E$4*$E$5*$E$10*SUMPRODUCT(IF($E$8:$N$8,$E$32,$E$33),$E$6:$N$6,$E$9:$N$9))</f>
        <v/>
      </c>
      <c r="AB84" s="29" t="str" cm="1">
        <f t="array" ref="AB84">IF($E$3="纯租赁",IF(AB68*12&lt;=$E$12,$E$4*$E$5*$E$10*SUMPRODUCT(IF($E$8:$N$8,$E$32,$E$33),$E$6:$N$6,$E$9:$N$9),""),$E$4*$E$5*$E$10*SUMPRODUCT(IF($E$8:$N$8,$E$32,$E$33),$E$6:$N$6,$E$9:$N$9))</f>
        <v/>
      </c>
      <c r="AC84" s="29" t="str" cm="1">
        <f t="array" ref="AC84">IF($E$3="纯租赁",IF(AC68*12&lt;=$E$12,$E$4*$E$5*$E$10*SUMPRODUCT(IF($E$8:$N$8,$E$32,$E$33),$E$6:$N$6,$E$9:$N$9),""),$E$4*$E$5*$E$10*SUMPRODUCT(IF($E$8:$N$8,$E$32,$E$33),$E$6:$N$6,$E$9:$N$9))</f>
        <v/>
      </c>
      <c r="AD84" s="29" t="str" cm="1">
        <f t="array" ref="AD84">IF($E$3="纯租赁",IF(AD68*12&lt;=$E$12,$E$4*$E$5*$E$10*SUMPRODUCT(IF($E$8:$N$8,$E$32,$E$33),$E$6:$N$6,$E$9:$N$9),""),$E$4*$E$5*$E$10*SUMPRODUCT(IF($E$8:$N$8,$E$32,$E$33),$E$6:$N$6,$E$9:$N$9))</f>
        <v/>
      </c>
    </row>
    <row r="85" spans="17:30">
      <c r="Q85" s="22"/>
      <c r="R85" s="23" t="s">
        <v>103</v>
      </c>
      <c r="S85" s="24" cm="1">
        <f t="array" ref="S85">IF($E$3="纯租赁",IF(S68*12&lt;=$E$12,SUMPRODUCT($E$6:$N$6,$E$9:$N$9)*$E$10/$E$29*$E$30*$E$4*$E$31,""),SUMPRODUCT($E$6:$N$6,$E$9:$N$9)*$E$10/$E$29*$E$30*$E$4*$E$31)</f>
        <v>60766.2</v>
      </c>
      <c r="T85" s="24" cm="1">
        <f t="array" ref="T85">IF($E$3="纯租赁",IF(T68*12&lt;=$E$12,SUMPRODUCT($E$6:$N$6,$E$9:$N$9)*$E$10/$E$29*$E$30*$E$4*$E$31,""),SUMPRODUCT($E$6:$N$6,$E$9:$N$9)*$E$10/$E$29*$E$30*$E$4*$E$31)</f>
        <v>60766.2</v>
      </c>
      <c r="U85" s="24" t="str" cm="1">
        <f t="array" ref="U85">IF($E$3="纯租赁",IF(U68*12&lt;=$E$12,SUMPRODUCT($E$6:$N$6,$E$9:$N$9)*$E$10/$E$29*$E$30*$E$4*$E$31,""),SUMPRODUCT($E$6:$N$6,$E$9:$N$9)*$E$10/$E$29*$E$30*$E$4*$E$31)</f>
        <v/>
      </c>
      <c r="V85" s="24" t="str" cm="1">
        <f t="array" ref="V85">IF($E$3="纯租赁",IF(V68*12&lt;=$E$12,SUMPRODUCT($E$6:$N$6,$E$9:$N$9)*$E$10/$E$29*$E$30*$E$4*$E$31,""),SUMPRODUCT($E$6:$N$6,$E$9:$N$9)*$E$10/$E$29*$E$30*$E$4*$E$31)</f>
        <v/>
      </c>
      <c r="W85" s="24" t="str" cm="1">
        <f t="array" ref="W85">IF($E$3="纯租赁",IF(W68*12&lt;=$E$12,SUMPRODUCT($E$6:$N$6,$E$9:$N$9)*$E$10/$E$29*$E$30*$E$4*$E$31,""),SUMPRODUCT($E$6:$N$6,$E$9:$N$9)*$E$10/$E$29*$E$30*$E$4*$E$31)</f>
        <v/>
      </c>
      <c r="X85" s="24" t="str" cm="1">
        <f t="array" ref="X85">IF($E$3="纯租赁",IF(X68*12&lt;=$E$12,SUMPRODUCT($E$6:$N$6,$E$9:$N$9)*$E$10/$E$29*$E$30*$E$4*$E$31,""),SUMPRODUCT($E$6:$N$6,$E$9:$N$9)*$E$10/$E$29*$E$30*$E$4*$E$31)</f>
        <v/>
      </c>
      <c r="Y85" s="24" t="str" cm="1">
        <f t="array" ref="Y85">IF($E$3="纯租赁",IF(Y68*12&lt;=$E$12,SUMPRODUCT($E$6:$N$6,$E$9:$N$9)*$E$10/$E$29*$E$30*$E$4*$E$31,""),SUMPRODUCT($E$6:$N$6,$E$9:$N$9)*$E$10/$E$29*$E$30*$E$4*$E$31)</f>
        <v/>
      </c>
      <c r="Z85" s="24" t="str" cm="1">
        <f t="array" ref="Z85">IF($E$3="纯租赁",IF(Z68*12&lt;=$E$12,SUMPRODUCT($E$6:$N$6,$E$9:$N$9)*$E$10/$E$29*$E$30*$E$4*$E$31,""),SUMPRODUCT($E$6:$N$6,$E$9:$N$9)*$E$10/$E$29*$E$30*$E$4*$E$31)</f>
        <v/>
      </c>
      <c r="AA85" s="24" t="str" cm="1">
        <f t="array" ref="AA85">IF($E$3="纯租赁",IF(AA68*12&lt;=$E$12,SUMPRODUCT($E$6:$N$6,$E$9:$N$9)*$E$10/$E$29*$E$30*$E$4*$E$31,""),SUMPRODUCT($E$6:$N$6,$E$9:$N$9)*$E$10/$E$29*$E$30*$E$4*$E$31)</f>
        <v/>
      </c>
      <c r="AB85" s="24" t="str" cm="1">
        <f t="array" ref="AB85">IF($E$3="纯租赁",IF(AB68*12&lt;=$E$12,SUMPRODUCT($E$6:$N$6,$E$9:$N$9)*$E$10/$E$29*$E$30*$E$4*$E$31,""),SUMPRODUCT($E$6:$N$6,$E$9:$N$9)*$E$10/$E$29*$E$30*$E$4*$E$31)</f>
        <v/>
      </c>
      <c r="AC85" s="24" t="str" cm="1">
        <f t="array" ref="AC85">IF($E$3="纯租赁",IF(AC68*12&lt;=$E$12,SUMPRODUCT($E$6:$N$6,$E$9:$N$9)*$E$10/$E$29*$E$30*$E$4*$E$31,""),SUMPRODUCT($E$6:$N$6,$E$9:$N$9)*$E$10/$E$29*$E$30*$E$4*$E$31)</f>
        <v/>
      </c>
      <c r="AD85" s="24" t="str" cm="1">
        <f t="array" ref="AD85">IF($E$3="纯租赁",IF(AD68*12&lt;=$E$12,SUMPRODUCT($E$6:$N$6,$E$9:$N$9)*$E$10/$E$29*$E$30*$E$4*$E$31,""),SUMPRODUCT($E$6:$N$6,$E$9:$N$9)*$E$10/$E$29*$E$30*$E$4*$E$31)</f>
        <v/>
      </c>
    </row>
    <row r="86" spans="17:30">
      <c r="Q86" s="28" t="s">
        <v>16</v>
      </c>
      <c r="R86" s="35" t="s">
        <v>106</v>
      </c>
      <c r="S86" s="29">
        <f t="shared" ref="S86:AD86" si="89">IFERROR(S69*$E$34/12*$E$26,"")</f>
        <v>0</v>
      </c>
      <c r="T86" s="29">
        <f t="shared" si="89"/>
        <v>0</v>
      </c>
      <c r="U86" s="29" t="str">
        <f t="shared" si="89"/>
        <v/>
      </c>
      <c r="V86" s="29" t="str">
        <f t="shared" si="89"/>
        <v/>
      </c>
      <c r="W86" s="29" t="str">
        <f t="shared" si="89"/>
        <v/>
      </c>
      <c r="X86" s="29" t="str">
        <f t="shared" si="89"/>
        <v/>
      </c>
      <c r="Y86" s="29" t="str">
        <f t="shared" si="89"/>
        <v/>
      </c>
      <c r="Z86" s="29" t="str">
        <f t="shared" si="89"/>
        <v/>
      </c>
      <c r="AA86" s="29" t="str">
        <f t="shared" si="89"/>
        <v/>
      </c>
      <c r="AB86" s="29" t="str">
        <f t="shared" si="89"/>
        <v/>
      </c>
      <c r="AC86" s="29" t="str">
        <f t="shared" si="89"/>
        <v/>
      </c>
      <c r="AD86" s="29" t="str">
        <f t="shared" si="89"/>
        <v/>
      </c>
    </row>
    <row r="87" spans="17:30">
      <c r="Q87" s="64"/>
      <c r="R87" s="35" t="s">
        <v>109</v>
      </c>
      <c r="S87" s="29">
        <f t="shared" ref="S87:AD87" si="90">IF($E$3="纯租赁",IF(S68*12&lt;=$E$12,($E$4*$E$13*12+SUM(S72:S85))*$E$35/12*$E$27,""),($E$4*$E$13*12+SUM(S72:S85))*$E$35/12*$E$27)</f>
        <v>8398.1247</v>
      </c>
      <c r="T87" s="29">
        <f t="shared" si="90"/>
        <v>8398.1247</v>
      </c>
      <c r="U87" s="29" t="str">
        <f t="shared" si="90"/>
        <v/>
      </c>
      <c r="V87" s="29" t="str">
        <f t="shared" si="90"/>
        <v/>
      </c>
      <c r="W87" s="29" t="str">
        <f t="shared" si="90"/>
        <v/>
      </c>
      <c r="X87" s="29" t="str">
        <f t="shared" si="90"/>
        <v/>
      </c>
      <c r="Y87" s="29" t="str">
        <f t="shared" si="90"/>
        <v/>
      </c>
      <c r="Z87" s="29" t="str">
        <f t="shared" si="90"/>
        <v/>
      </c>
      <c r="AA87" s="29" t="str">
        <f t="shared" si="90"/>
        <v/>
      </c>
      <c r="AB87" s="29" t="str">
        <f t="shared" si="90"/>
        <v/>
      </c>
      <c r="AC87" s="29" t="str">
        <f t="shared" si="90"/>
        <v/>
      </c>
      <c r="AD87" s="29" t="str">
        <f t="shared" si="90"/>
        <v/>
      </c>
    </row>
    <row r="88" spans="17:30">
      <c r="Q88" s="53" t="s">
        <v>17</v>
      </c>
      <c r="R88" s="65" t="s">
        <v>112</v>
      </c>
      <c r="S88" s="55">
        <f t="shared" ref="S88:AD88" si="91">IFERROR(S69*0.09/1.09,"")</f>
        <v>142233.027522936</v>
      </c>
      <c r="T88" s="55">
        <f t="shared" si="91"/>
        <v>142233.027522936</v>
      </c>
      <c r="U88" s="55" t="str">
        <f t="shared" si="91"/>
        <v/>
      </c>
      <c r="V88" s="55" t="str">
        <f t="shared" si="91"/>
        <v/>
      </c>
      <c r="W88" s="55" t="str">
        <f t="shared" si="91"/>
        <v/>
      </c>
      <c r="X88" s="55" t="str">
        <f t="shared" si="91"/>
        <v/>
      </c>
      <c r="Y88" s="55" t="str">
        <f t="shared" si="91"/>
        <v/>
      </c>
      <c r="Z88" s="55" t="str">
        <f t="shared" si="91"/>
        <v/>
      </c>
      <c r="AA88" s="55" t="str">
        <f t="shared" si="91"/>
        <v/>
      </c>
      <c r="AB88" s="55" t="str">
        <f t="shared" si="91"/>
        <v/>
      </c>
      <c r="AC88" s="55" t="str">
        <f t="shared" si="91"/>
        <v/>
      </c>
      <c r="AD88" s="55" t="str">
        <f t="shared" si="91"/>
        <v/>
      </c>
    </row>
    <row r="89" spans="17:30">
      <c r="Q89" s="64"/>
      <c r="R89" s="66" t="s">
        <v>115</v>
      </c>
      <c r="S89" s="57">
        <f t="shared" ref="S89:AD89" si="92">IFERROR((S71+S84+S85)*0.13/1.13+S76*0.06/1.06,"")</f>
        <v>77976.9411053598</v>
      </c>
      <c r="T89" s="57">
        <f t="shared" si="92"/>
        <v>77976.9411053598</v>
      </c>
      <c r="U89" s="57" t="str">
        <f t="shared" si="92"/>
        <v/>
      </c>
      <c r="V89" s="57" t="str">
        <f t="shared" si="92"/>
        <v/>
      </c>
      <c r="W89" s="57" t="str">
        <f t="shared" si="92"/>
        <v/>
      </c>
      <c r="X89" s="57" t="str">
        <f t="shared" si="92"/>
        <v/>
      </c>
      <c r="Y89" s="57" t="str">
        <f t="shared" si="92"/>
        <v/>
      </c>
      <c r="Z89" s="57" t="str">
        <f t="shared" si="92"/>
        <v/>
      </c>
      <c r="AA89" s="57" t="str">
        <f t="shared" si="92"/>
        <v/>
      </c>
      <c r="AB89" s="57" t="str">
        <f t="shared" si="92"/>
        <v/>
      </c>
      <c r="AC89" s="57" t="str">
        <f t="shared" si="92"/>
        <v/>
      </c>
      <c r="AD89" s="57" t="str">
        <f t="shared" si="92"/>
        <v/>
      </c>
    </row>
    <row r="90" spans="17:30">
      <c r="Q90" s="22"/>
      <c r="R90" s="23" t="s">
        <v>118</v>
      </c>
      <c r="S90" s="24">
        <f t="shared" ref="S90:AD90" si="93">IFERROR(MAX(0,S88-S89),"")</f>
        <v>64256.0864175759</v>
      </c>
      <c r="T90" s="24">
        <f t="shared" si="93"/>
        <v>64256.0864175759</v>
      </c>
      <c r="U90" s="24" t="str">
        <f t="shared" si="93"/>
        <v/>
      </c>
      <c r="V90" s="24" t="str">
        <f t="shared" si="93"/>
        <v/>
      </c>
      <c r="W90" s="24" t="str">
        <f t="shared" si="93"/>
        <v/>
      </c>
      <c r="X90" s="24" t="str">
        <f t="shared" si="93"/>
        <v/>
      </c>
      <c r="Y90" s="24" t="str">
        <f t="shared" si="93"/>
        <v/>
      </c>
      <c r="Z90" s="24" t="str">
        <f t="shared" si="93"/>
        <v/>
      </c>
      <c r="AA90" s="24" t="str">
        <f t="shared" si="93"/>
        <v/>
      </c>
      <c r="AB90" s="24" t="str">
        <f t="shared" si="93"/>
        <v/>
      </c>
      <c r="AC90" s="24" t="str">
        <f t="shared" si="93"/>
        <v/>
      </c>
      <c r="AD90" s="24" t="str">
        <f t="shared" si="93"/>
        <v/>
      </c>
    </row>
    <row r="91" ht="16.5" spans="17:30">
      <c r="Q91" s="44" t="s">
        <v>138</v>
      </c>
      <c r="R91" s="44"/>
      <c r="S91" s="76">
        <f t="shared" ref="S91:AD91" si="94">IFERROR(SUM(S71:S87)+S90,"")</f>
        <v>1512332.73111758</v>
      </c>
      <c r="T91" s="76">
        <f t="shared" si="94"/>
        <v>1512332.73111758</v>
      </c>
      <c r="U91" s="76" t="str">
        <f t="shared" si="94"/>
        <v/>
      </c>
      <c r="V91" s="76" t="str">
        <f t="shared" si="94"/>
        <v/>
      </c>
      <c r="W91" s="76" t="str">
        <f t="shared" si="94"/>
        <v/>
      </c>
      <c r="X91" s="76" t="str">
        <f t="shared" si="94"/>
        <v/>
      </c>
      <c r="Y91" s="76" t="str">
        <f t="shared" si="94"/>
        <v/>
      </c>
      <c r="Z91" s="76" t="str">
        <f t="shared" si="94"/>
        <v/>
      </c>
      <c r="AA91" s="76" t="str">
        <f t="shared" si="94"/>
        <v/>
      </c>
      <c r="AB91" s="76" t="str">
        <f t="shared" si="94"/>
        <v/>
      </c>
      <c r="AC91" s="76" t="str">
        <f t="shared" si="94"/>
        <v/>
      </c>
      <c r="AD91" s="76" t="str">
        <f t="shared" si="94"/>
        <v/>
      </c>
    </row>
    <row r="92" ht="16.5" spans="17:30">
      <c r="Q92" s="69" t="s">
        <v>140</v>
      </c>
      <c r="R92" s="69"/>
      <c r="S92" s="58">
        <f t="shared" ref="S92:AD92" si="95">IFERROR(S69-S91,"")</f>
        <v>210267.268882424</v>
      </c>
      <c r="T92" s="58">
        <f t="shared" si="95"/>
        <v>210267.268882424</v>
      </c>
      <c r="U92" s="58" t="str">
        <f t="shared" si="95"/>
        <v/>
      </c>
      <c r="V92" s="58" t="str">
        <f t="shared" si="95"/>
        <v/>
      </c>
      <c r="W92" s="58" t="str">
        <f t="shared" si="95"/>
        <v/>
      </c>
      <c r="X92" s="58" t="str">
        <f t="shared" si="95"/>
        <v/>
      </c>
      <c r="Y92" s="58" t="str">
        <f t="shared" si="95"/>
        <v/>
      </c>
      <c r="Z92" s="58" t="str">
        <f t="shared" si="95"/>
        <v/>
      </c>
      <c r="AA92" s="58" t="str">
        <f t="shared" si="95"/>
        <v/>
      </c>
      <c r="AB92" s="58" t="str">
        <f t="shared" si="95"/>
        <v/>
      </c>
      <c r="AC92" s="58" t="str">
        <f t="shared" si="95"/>
        <v/>
      </c>
      <c r="AD92" s="58" t="str">
        <f t="shared" si="95"/>
        <v/>
      </c>
    </row>
    <row r="93" spans="17:30">
      <c r="Q93" s="1" t="s">
        <v>133</v>
      </c>
    </row>
  </sheetData>
  <sheetProtection algorithmName="SHA-512" hashValue="v4wyx3jEVzfB9y8apGoriMIu5l0K4oNUV7DfUI94RT56Q3+ZKB0g4QveZ7P4qQQdFjUO1rE2Zi6iMDeT5S0GLQ==" saltValue="qC+8DnPqywvdlb1P3N3Ibg==" spinCount="100000" sheet="1" formatCells="0" formatColumns="0" formatRows="0" objects="1"/>
  <mergeCells count="115">
    <mergeCell ref="A2:B2"/>
    <mergeCell ref="C2:D2"/>
    <mergeCell ref="AG2:AH2"/>
    <mergeCell ref="AX2:AY2"/>
    <mergeCell ref="C3:D3"/>
    <mergeCell ref="E3:N3"/>
    <mergeCell ref="C4:D4"/>
    <mergeCell ref="E4:N4"/>
    <mergeCell ref="C5:D5"/>
    <mergeCell ref="E5:N5"/>
    <mergeCell ref="C6:D6"/>
    <mergeCell ref="C7:D7"/>
    <mergeCell ref="C8:D8"/>
    <mergeCell ref="AX8:AZ8"/>
    <mergeCell ref="C9:D9"/>
    <mergeCell ref="AX9:AY9"/>
    <mergeCell ref="C10:D10"/>
    <mergeCell ref="E10:N10"/>
    <mergeCell ref="AX10:AZ10"/>
    <mergeCell ref="C11:D11"/>
    <mergeCell ref="E11:N11"/>
    <mergeCell ref="C12:D12"/>
    <mergeCell ref="E12:N12"/>
    <mergeCell ref="C13:D13"/>
    <mergeCell ref="E13:N13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2:D22"/>
    <mergeCell ref="C23:D23"/>
    <mergeCell ref="C24:D24"/>
    <mergeCell ref="C25:D25"/>
    <mergeCell ref="AG25:AH25"/>
    <mergeCell ref="C26:D26"/>
    <mergeCell ref="E26:N26"/>
    <mergeCell ref="AG26:AH26"/>
    <mergeCell ref="C27:D27"/>
    <mergeCell ref="E27:N27"/>
    <mergeCell ref="AG27:AH27"/>
    <mergeCell ref="C28:D28"/>
    <mergeCell ref="E28:N28"/>
    <mergeCell ref="C29:D29"/>
    <mergeCell ref="E29:N29"/>
    <mergeCell ref="C30:D30"/>
    <mergeCell ref="E30:N30"/>
    <mergeCell ref="C31:D31"/>
    <mergeCell ref="E31:N31"/>
    <mergeCell ref="AX31:AZ31"/>
    <mergeCell ref="C32:D32"/>
    <mergeCell ref="E32:N32"/>
    <mergeCell ref="AX32:AZ32"/>
    <mergeCell ref="C33:D33"/>
    <mergeCell ref="E33:N33"/>
    <mergeCell ref="C34:D34"/>
    <mergeCell ref="E34:N34"/>
    <mergeCell ref="C35:D35"/>
    <mergeCell ref="E35:N35"/>
    <mergeCell ref="Q38:R38"/>
    <mergeCell ref="AG38:AH38"/>
    <mergeCell ref="Q40:R40"/>
    <mergeCell ref="AC40:AD40"/>
    <mergeCell ref="Q61:R61"/>
    <mergeCell ref="AC61:AD61"/>
    <mergeCell ref="AG61:AH61"/>
    <mergeCell ref="Q62:R62"/>
    <mergeCell ref="AC62:AD62"/>
    <mergeCell ref="AG62:AH62"/>
    <mergeCell ref="AG63:AH63"/>
    <mergeCell ref="AG64:AH64"/>
    <mergeCell ref="AG65:AH65"/>
    <mergeCell ref="AG66:AH66"/>
    <mergeCell ref="Q68:R68"/>
    <mergeCell ref="Q70:R70"/>
    <mergeCell ref="Q91:R91"/>
    <mergeCell ref="Q92:R92"/>
    <mergeCell ref="A3:A10"/>
    <mergeCell ref="A11:A21"/>
    <mergeCell ref="A22:A25"/>
    <mergeCell ref="A26:A27"/>
    <mergeCell ref="A28:A35"/>
    <mergeCell ref="Q32:Q33"/>
    <mergeCell ref="Q41:Q49"/>
    <mergeCell ref="Q50:Q55"/>
    <mergeCell ref="Q56:Q57"/>
    <mergeCell ref="Q58:Q60"/>
    <mergeCell ref="Q71:Q79"/>
    <mergeCell ref="Q80:Q85"/>
    <mergeCell ref="Q86:Q87"/>
    <mergeCell ref="Q88:Q90"/>
    <mergeCell ref="AD58:AD60"/>
    <mergeCell ref="AG4:AG13"/>
    <mergeCell ref="AG14:AG19"/>
    <mergeCell ref="AG20:AG21"/>
    <mergeCell ref="AG22:AG24"/>
    <mergeCell ref="AG40:AG49"/>
    <mergeCell ref="AG50:AG55"/>
    <mergeCell ref="AG56:AG57"/>
    <mergeCell ref="AG58:AG60"/>
    <mergeCell ref="AX11:AY19"/>
    <mergeCell ref="AX20:AY25"/>
    <mergeCell ref="AX26:AY27"/>
    <mergeCell ref="AX28:AY30"/>
  </mergeCells>
  <dataValidations count="4">
    <dataValidation allowBlank="1" showInputMessage="1" showErrorMessage="1" sqref="AZ1:BA1"/>
    <dataValidation type="list" allowBlank="1" showInputMessage="1" showErrorMessage="1" sqref="E3:N3">
      <formula1>"以租代购,纯租赁"</formula1>
    </dataValidation>
    <dataValidation type="custom" showInputMessage="1" showErrorMessage="1" errorTitle="请注意租赁形式！" sqref="E11:N11">
      <formula1>IF($E$3="纯租赁",$E$11=0,$E$11&gt;0)</formula1>
    </dataValidation>
    <dataValidation type="list" allowBlank="1" showInputMessage="1" showErrorMessage="1" sqref="AX3:AX7">
      <formula1>"✔"</formula1>
    </dataValidation>
  </dataValidations>
  <pageMargins left="0.751388888888889" right="0.751388888888889" top="1" bottom="1" header="0.5" footer="0.5"/>
  <pageSetup paperSize="9" scale="75" orientation="landscape" horizontalDpi="600"/>
  <headerFooter>
    <oddHeader>&amp;C&amp;"微软雅黑"&amp;20&amp;K00-015SKYWORTH
创维汽车</oddHeader>
    <oddFooter>&amp;C&amp;"微软雅黑"&amp;20&amp;K00-005SKYWORTH
创维汽车</oddFooter>
  </headerFooter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9" master="" otherUserPermission="visible">
    <arrUserId title="区域1" rangeCreator="" othersAccessPermission="edit"/>
  </rangeList>
  <rangeList sheetStid="12" master="" otherUserPermission="visible">
    <arrUserId title="区域1" rangeCreator="" othersAccessPermission="edit"/>
  </rangeList>
  <rangeList sheetStid="31" master="" otherUserPermission="visible">
    <arrUserId title="区域1" rangeCreator="" othersAccessPermission="edit"/>
  </rangeList>
  <rangeList sheetStid="32" master="" otherUserPermission="visible">
    <arrUserId title="区域1" rangeCreator="" othersAccessPermission="edit"/>
  </rangeList>
  <rangeList sheetStid="33" master="" otherUserPermission="visible">
    <arrUserId title="区域1" rangeCreator="" othersAccessPermission="edit"/>
  </rangeList>
  <rangeList sheetStid="34" master="" otherUserPermission="visible">
    <arrUserId title="区域1" rangeCreator="" othersAccessPermission="edit"/>
  </rangeList>
  <rangeList sheetStid="2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测算模型(1)</vt:lpstr>
      <vt:lpstr>测算模型(2)</vt:lpstr>
      <vt:lpstr>测算模型(3)</vt:lpstr>
      <vt:lpstr>测算模型(4)</vt:lpstr>
      <vt:lpstr>测算模型(5)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陈子依</cp:lastModifiedBy>
  <dcterms:created xsi:type="dcterms:W3CDTF">2025-09-25T08:37:00Z</dcterms:created>
  <dcterms:modified xsi:type="dcterms:W3CDTF">2026-09-17T10:17:15Z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08463C1BC96C4834BCC66A6DED5AF88B_13</vt:lpwstr>
  </property>
  <property fmtid="{D5CDD505-2E9C-101B-9397-08002B2CF9AE}" pid="3" name="KSOProductBuildVer">
    <vt:lpwstr>2052-12.1.0.22089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